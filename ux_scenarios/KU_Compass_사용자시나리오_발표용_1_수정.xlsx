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20" windowWidth="25600" windowHeight="15940" tabRatio="600" firstSheet="0" activeTab="3" autoFilterDateGrouping="1"/>
  </bookViews>
  <sheets>
    <sheet xmlns:r="http://schemas.openxmlformats.org/officeDocument/2006/relationships" name="요약" sheetId="1" state="visible" r:id="rId1"/>
    <sheet xmlns:r="http://schemas.openxmlformats.org/officeDocument/2006/relationships" name="챗봇" sheetId="2" state="visible" r:id="rId2"/>
    <sheet xmlns:r="http://schemas.openxmlformats.org/officeDocument/2006/relationships" name="챗봇 3회 반복" sheetId="3" state="visible" r:id="rId3"/>
    <sheet xmlns:r="http://schemas.openxmlformats.org/officeDocument/2006/relationships" name="전공 추천" sheetId="4" state="visible" r:id="rId4"/>
    <sheet xmlns:r="http://schemas.openxmlformats.org/officeDocument/2006/relationships" name="로드맵" sheetId="5" state="visible" r:id="rId5"/>
    <sheet xmlns:r="http://schemas.openxmlformats.org/officeDocument/2006/relationships" name="졸업요건" sheetId="6" state="visible" r:id="rId6"/>
    <sheet xmlns:r="http://schemas.openxmlformats.org/officeDocument/2006/relationships" name="개선 전후 비교" sheetId="7" state="visible" r:id="rId7"/>
  </sheets>
  <definedNames>
    <definedName name="_xlnm.Print_Titles" localSheetId="1">'챗봇'!$4:$4</definedName>
    <definedName name="_xlnm.Print_Titles" localSheetId="2">'챗봇 3회 반복'!$4:$4</definedName>
    <definedName name="_xlnm.Print_Titles" localSheetId="3">'전공 추천'!$4:$4</definedName>
    <definedName name="_xlnm.Print_Titles" localSheetId="4">'로드맵'!$4:$4</definedName>
    <definedName name="_xlnm.Print_Titles" localSheetId="5">'졸업요건'!$4:$4</definedName>
    <definedName name="_xlnm.Print_Titles" localSheetId="6">'개선 전후 비교'!$4:$4</definedName>
  </definedNames>
  <calcPr calcId="191029" fullCalcOnLoad="1"/>
</workbook>
</file>

<file path=xl/styles.xml><?xml version="1.0" encoding="utf-8"?>
<styleSheet xmlns="http://schemas.openxmlformats.org/spreadsheetml/2006/main">
  <numFmts count="1">
    <numFmt numFmtId="164" formatCode="0.0"/>
  </numFmts>
  <fonts count="8">
    <font>
      <name val="맑은 고딕"/>
      <family val="2"/>
      <color theme="1"/>
      <sz val="11"/>
      <scheme val="minor"/>
    </font>
    <font>
      <name val="맑은 고딕"/>
      <charset val="129"/>
      <family val="2"/>
      <b val="1"/>
      <color rgb="FF8B1A2B"/>
      <sz val="16"/>
    </font>
    <font>
      <name val="맑은 고딕"/>
      <charset val="129"/>
      <family val="2"/>
      <color rgb="FF595959"/>
      <sz val="10"/>
    </font>
    <font>
      <name val="맑은 고딕"/>
      <charset val="129"/>
      <family val="2"/>
      <b val="1"/>
      <color rgb="FF8B1A2B"/>
      <sz val="12"/>
    </font>
    <font>
      <name val="맑은 고딕"/>
      <charset val="129"/>
      <family val="2"/>
      <b val="1"/>
      <color rgb="FFFFFFFF"/>
      <sz val="10"/>
    </font>
    <font>
      <name val="맑은 고딕"/>
      <charset val="129"/>
      <family val="2"/>
      <b val="1"/>
      <sz val="10"/>
    </font>
    <font>
      <name val="맑은 고딕"/>
      <charset val="129"/>
      <family val="2"/>
      <sz val="10"/>
    </font>
    <font>
      <name val="맑은 고딕"/>
      <charset val="129"/>
      <family val="3"/>
      <sz val="8"/>
      <scheme val="minor"/>
    </font>
  </fonts>
  <fills count="4">
    <fill>
      <patternFill/>
    </fill>
    <fill>
      <patternFill patternType="gray125"/>
    </fill>
    <fill>
      <patternFill patternType="solid">
        <fgColor rgb="FF8B1A2B"/>
      </patternFill>
    </fill>
    <fill>
      <patternFill patternType="solid">
        <fgColor rgb="FFF7F2F3"/>
      </patternFill>
    </fill>
  </fills>
  <borders count="6">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s>
  <cellStyleXfs count="1">
    <xf numFmtId="0" fontId="0" fillId="0" borderId="0"/>
  </cellStyleXfs>
  <cellXfs count="23">
    <xf numFmtId="0" fontId="0" fillId="0" borderId="0" pivotButton="0" quotePrefix="0" xfId="0"/>
    <xf numFmtId="0" fontId="3" fillId="0" borderId="0" pivotButton="0" quotePrefix="0" xfId="0"/>
    <xf numFmtId="0" fontId="4" fillId="2" borderId="1" applyAlignment="1" pivotButton="0" quotePrefix="0" xfId="0">
      <alignment horizontal="center" vertical="top" wrapText="1"/>
    </xf>
    <xf numFmtId="0" fontId="5" fillId="0" borderId="1" applyAlignment="1" pivotButton="0" quotePrefix="0" xfId="0">
      <alignment horizontal="center" vertical="top" wrapText="1"/>
    </xf>
    <xf numFmtId="0" fontId="6" fillId="0" borderId="1" applyAlignment="1" pivotButton="0" quotePrefix="0" xfId="0">
      <alignment horizontal="center" vertical="top" wrapText="1"/>
    </xf>
    <xf numFmtId="164" fontId="6" fillId="0" borderId="1" applyAlignment="1" pivotButton="0" quotePrefix="0" xfId="0">
      <alignment horizontal="center" vertical="top" wrapText="1"/>
    </xf>
    <xf numFmtId="0" fontId="6" fillId="0" borderId="1" applyAlignment="1" pivotButton="0" quotePrefix="0" xfId="0">
      <alignment vertical="top" wrapText="1"/>
    </xf>
    <xf numFmtId="0" fontId="5" fillId="3" borderId="1" applyAlignment="1" pivotButton="0" quotePrefix="0" xfId="0">
      <alignment horizontal="center" vertical="top" wrapText="1"/>
    </xf>
    <xf numFmtId="0" fontId="6" fillId="3" borderId="1" applyAlignment="1" pivotButton="0" quotePrefix="0" xfId="0">
      <alignment horizontal="center" vertical="top" wrapText="1"/>
    </xf>
    <xf numFmtId="164" fontId="6" fillId="3" borderId="1" applyAlignment="1" pivotButton="0" quotePrefix="0" xfId="0">
      <alignment horizontal="center" vertical="top" wrapText="1"/>
    </xf>
    <xf numFmtId="0" fontId="6" fillId="3"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1" fillId="0" borderId="0" applyAlignment="1" pivotButton="0" quotePrefix="0" xfId="0">
      <alignment vertical="center"/>
    </xf>
    <xf numFmtId="0" fontId="0" fillId="0" borderId="0" pivotButton="0" quotePrefix="0" xfId="0"/>
    <xf numFmtId="0" fontId="6" fillId="0" borderId="1" applyAlignment="1" pivotButton="0" quotePrefix="0" xfId="0">
      <alignment vertical="top" wrapText="1"/>
    </xf>
    <xf numFmtId="0" fontId="0" fillId="0" borderId="2" pivotButton="0" quotePrefix="0" xfId="0"/>
    <xf numFmtId="0" fontId="0" fillId="0" borderId="3" pivotButton="0" quotePrefix="0" xfId="0"/>
    <xf numFmtId="0" fontId="6" fillId="3" borderId="1" applyAlignment="1" pivotButton="0" quotePrefix="0" xfId="0">
      <alignment vertical="top" wrapText="1"/>
    </xf>
    <xf numFmtId="0" fontId="4" fillId="2" borderId="1" applyAlignment="1" pivotButton="0" quotePrefix="0" xfId="0">
      <alignment horizontal="center" vertical="top" wrapText="1"/>
    </xf>
    <xf numFmtId="0" fontId="2" fillId="0" borderId="0" applyAlignment="1" pivotButton="0" quotePrefix="0" xfId="0">
      <alignment vertical="top" wrapText="1"/>
    </xf>
    <xf numFmtId="164" fontId="6" fillId="0" borderId="1" applyAlignment="1" pivotButton="0" quotePrefix="0" xfId="0">
      <alignment horizontal="center" vertical="top" wrapText="1"/>
    </xf>
    <xf numFmtId="164" fontId="6" fillId="3" borderId="1" applyAlignment="1" pivotButton="0" quotePrefix="0" xfId="0">
      <alignment horizontal="center" vertical="top"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showGridLines="0" workbookViewId="0">
      <selection activeCell="C6" sqref="C6"/>
    </sheetView>
  </sheetViews>
  <sheetFormatPr baseColWidth="10" defaultColWidth="8.83203125" defaultRowHeight="17"/>
  <cols>
    <col width="22" customWidth="1" style="14" min="1" max="1"/>
    <col width="40" customWidth="1" style="14" min="2" max="3"/>
    <col width="60" customWidth="1" style="14" min="4" max="4"/>
  </cols>
  <sheetData>
    <row r="1" ht="30" customHeight="1" s="14">
      <c r="A1" s="13" t="inlineStr">
        <is>
          <t>KU Compass 사용자 시나리오 검증</t>
        </is>
      </c>
    </row>
    <row r="2" ht="34" customHeight="1" s="14">
      <c r="A2" s="20" t="inlineStr">
        <is>
          <t>고려대 학부생 이중/융합전공 추천 및 수강 로드맵 시스템 · 2026 대학혁신지원사업 연구과제
실행 2026-10-02 · 공개 서버와 같은 서버 · 챗봇 qwen3:8b(로컬, 오프라인) · 전공 추천 KoE5(로컬)</t>
        </is>
      </c>
    </row>
    <row r="4" ht="18" customHeight="1" s="14">
      <c r="A4" s="1" t="inlineStr">
        <is>
          <t>메뉴별 시나리오</t>
        </is>
      </c>
    </row>
    <row r="5" ht="22" customHeight="1" s="14">
      <c r="A5" s="19" t="inlineStr">
        <is>
          <t>메뉴</t>
        </is>
      </c>
      <c r="B5" s="19" t="inlineStr">
        <is>
          <t>시나리오 수</t>
        </is>
      </c>
      <c r="C5" s="19" t="inlineStr">
        <is>
          <t>평균 응답 시간(초)</t>
        </is>
      </c>
      <c r="D5" s="19" t="inlineStr">
        <is>
          <t>내용</t>
        </is>
      </c>
    </row>
    <row r="6" ht="35" customHeight="1" s="14">
      <c r="A6" s="3" t="inlineStr">
        <is>
          <t>챗봇</t>
        </is>
      </c>
      <c r="B6" s="4" t="n">
        <v>10</v>
      </c>
      <c r="C6" s="21" t="n">
        <v>10.1</v>
      </c>
      <c r="D6" s="15" t="inlineStr">
        <is>
          <t>자유 대화로 질문하면 로컬 LLM이 필요한 기능(전공 추천, 교과목 조회, 졸업요건, 로드맵)을 골라 답합니다.</t>
        </is>
      </c>
    </row>
    <row r="7" ht="35" customHeight="1" s="14">
      <c r="A7" s="7" t="inlineStr">
        <is>
          <t>전공 추천</t>
        </is>
      </c>
      <c r="B7" s="8" t="n">
        <v>10</v>
      </c>
      <c r="C7" s="22">
        <f>AVERAGE('전공 추천'!E5:E14)</f>
        <v/>
      </c>
      <c r="D7" s="18" t="inlineStr">
        <is>
          <t>관심 분야를 문장으로 적으면 맞는 융합전공 5개와 주관 학과를 보여줍니다.</t>
        </is>
      </c>
    </row>
    <row r="8" ht="35" customHeight="1" s="14">
      <c r="A8" s="3" t="inlineStr">
        <is>
          <t>로드맵</t>
        </is>
      </c>
      <c r="B8" s="4" t="n">
        <v>10</v>
      </c>
      <c r="C8" s="21">
        <f>AVERAGE(로드맵!G5:G14)</f>
        <v/>
      </c>
      <c r="D8" s="15" t="inlineStr">
        <is>
          <t>전공, 이미 들은 과목, 학기당 학점으로 선수과목 순서를 지킨 학기별 계획을 만듭니다.</t>
        </is>
      </c>
    </row>
    <row r="9" ht="35" customHeight="1" s="14">
      <c r="A9" s="7" t="inlineStr">
        <is>
          <t>졸업요건</t>
        </is>
      </c>
      <c r="B9" s="8" t="n">
        <v>10</v>
      </c>
      <c r="C9" s="22">
        <f>AVERAGE(졸업요건!F5:F14)</f>
        <v/>
      </c>
      <c r="D9" s="18" t="inlineStr">
        <is>
          <t>남은 학점과 남은 전공필수 과목, 인정되지 않은 입력을 알려줍니다.</t>
        </is>
      </c>
    </row>
    <row r="11" ht="18" customHeight="1" s="14">
      <c r="A11" s="1" t="inlineStr">
        <is>
          <t>이번 개선 (같은 입력으로 수정 전후 비교)</t>
        </is>
      </c>
    </row>
    <row r="12" ht="22" customHeight="1" s="14">
      <c r="A12" s="19" t="inlineStr">
        <is>
          <t>항목</t>
        </is>
      </c>
      <c r="B12" s="19" t="inlineStr">
        <is>
          <t>개선 전</t>
        </is>
      </c>
      <c r="C12" s="19" t="inlineStr">
        <is>
          <t>개선 후</t>
        </is>
      </c>
      <c r="D12" s="19" t="inlineStr">
        <is>
          <t>근거 시나리오</t>
        </is>
      </c>
    </row>
    <row r="13" ht="35" customHeight="1" s="14">
      <c r="A13" s="11" t="inlineStr">
        <is>
          <t>챗봇 '정보보호 로드맵 짜 주세요'</t>
        </is>
      </c>
      <c r="B13" s="15" t="inlineStr">
        <is>
          <t>3회 중 0회 성공 (전공 코드를 INFOSEC 등으로 지어냄)</t>
        </is>
      </c>
      <c r="C13" s="15" t="inlineStr">
        <is>
          <t>3회 중 3회 성공</t>
        </is>
      </c>
      <c r="D13" s="4" t="inlineStr">
        <is>
          <t>챗봇 4</t>
        </is>
      </c>
    </row>
    <row r="14" ht="35" customHeight="1" s="14">
      <c r="A14" s="12" t="inlineStr">
        <is>
          <t>챗봇 '자료구조랑 기계학습 들었는데'</t>
        </is>
      </c>
      <c r="B14" s="18" t="inlineStr">
        <is>
          <t>3회 중 1회 정답 (없는 학수번호를 지어냄)</t>
        </is>
      </c>
      <c r="C14" s="18" t="inlineStr">
        <is>
          <t>3회 중 3회 정답</t>
        </is>
      </c>
      <c r="D14" s="8" t="inlineStr">
        <is>
          <t>챗봇 3</t>
        </is>
      </c>
    </row>
    <row r="15" ht="35" customHeight="1" s="14">
      <c r="A15" s="11" t="inlineStr">
        <is>
          <t>챗봇 '인공지능응용 전공필수가 뭐예요'</t>
        </is>
      </c>
      <c r="B15" s="15" t="inlineStr">
        <is>
          <t>3회 중 2회 정답</t>
        </is>
      </c>
      <c r="C15" s="15" t="inlineStr">
        <is>
          <t>3회 중 3회 정답</t>
        </is>
      </c>
      <c r="D15" s="4" t="inlineStr">
        <is>
          <t>챗봇 2</t>
        </is>
      </c>
    </row>
    <row r="16" ht="35" customHeight="1" s="14">
      <c r="A16" s="12" t="inlineStr">
        <is>
          <t>챗봇 범위 밖 질문(이중전공) 안내</t>
        </is>
      </c>
      <c r="B16" s="18" t="inlineStr">
        <is>
          <t>3회 중 0회 안내</t>
        </is>
      </c>
      <c r="C16" s="18" t="inlineStr">
        <is>
          <t>3회 중 3회 안내</t>
        </is>
      </c>
      <c r="D16" s="8" t="inlineStr">
        <is>
          <t>챗봇 6</t>
        </is>
      </c>
    </row>
    <row r="17" ht="35" customHeight="1" s="14">
      <c r="A17" s="11" t="inlineStr">
        <is>
          <t>졸업요건 같은 학수번호 두 번 입력</t>
        </is>
      </c>
      <c r="B17" s="15" t="inlineStr">
        <is>
          <t>6학점 이수 (두 번 셈)</t>
        </is>
      </c>
      <c r="C17" s="15" t="inlineStr">
        <is>
          <t>3학점 이수 (한 번만 셈)</t>
        </is>
      </c>
      <c r="D17" s="4" t="inlineStr">
        <is>
          <t>졸업요건 7</t>
        </is>
      </c>
    </row>
    <row r="18" ht="35" customHeight="1" s="14">
      <c r="A18" s="12" t="inlineStr">
        <is>
          <t>졸업요건 택1 과목 둘 다 입력</t>
        </is>
      </c>
      <c r="B18" s="18" t="inlineStr">
        <is>
          <t>전공필수 9학점 이수로 계산</t>
        </is>
      </c>
      <c r="C18" s="18" t="inlineStr">
        <is>
          <t>전공필수 6학점 + 남은 필수 과목 이름 안내</t>
        </is>
      </c>
      <c r="D18" s="8" t="inlineStr">
        <is>
          <t>졸업요건 4</t>
        </is>
      </c>
    </row>
    <row r="19" ht="35" customHeight="1" s="14">
      <c r="A19" s="11" t="inlineStr">
        <is>
          <t>로드맵 학점 배분 (인공지능응용, 학기당 18)</t>
        </is>
      </c>
      <c r="B19" s="15" t="inlineStr">
        <is>
          <t>42학점 / 4학기 (요건보다 6학점 많음)</t>
        </is>
      </c>
      <c r="C19" s="15" t="inlineStr">
        <is>
          <t>36학점 / 4학기, 학기마다 고르게</t>
        </is>
      </c>
      <c r="D19" s="4" t="inlineStr">
        <is>
          <t>로드맵 1</t>
        </is>
      </c>
    </row>
    <row r="20" ht="35" customHeight="1" s="14">
      <c r="A20" s="12" t="inlineStr">
        <is>
          <t>로드맵 기이수 반영 (9학점 이수)</t>
        </is>
      </c>
      <c r="B20" s="18" t="inlineStr">
        <is>
          <t>36학점 새로 배치</t>
        </is>
      </c>
      <c r="C20" s="18" t="inlineStr">
        <is>
          <t>27학점만 새로 배치</t>
        </is>
      </c>
      <c r="D20" s="8" t="inlineStr">
        <is>
          <t>로드맵 2</t>
        </is>
      </c>
    </row>
    <row r="21" ht="35" customHeight="1" s="14">
      <c r="A21" s="11" t="inlineStr">
        <is>
          <t>로드맵 필수 과목 누락 (소프트웨어기술벤처)</t>
        </is>
      </c>
      <c r="B21" s="15" t="inlineStr">
        <is>
          <t>COSE389 누락, 택1 과목 중복 배치</t>
        </is>
      </c>
      <c r="C21" s="15" t="inlineStr">
        <is>
          <t>COSE389 포함, 대체 가능 과목 안내</t>
        </is>
      </c>
      <c r="D21" s="4" t="inlineStr">
        <is>
          <t>로드맵 4</t>
        </is>
      </c>
    </row>
    <row r="22" ht="35" customHeight="1" s="14">
      <c r="A22" s="12" t="inlineStr">
        <is>
          <t>로드맵 개설학기 (생태조경)</t>
        </is>
      </c>
      <c r="B22" s="18" t="inlineStr">
        <is>
          <t>1학기 개설 과목을 2학기에 배치</t>
        </is>
      </c>
      <c r="C22" s="18" t="inlineStr">
        <is>
          <t>개설학기에 맞춰 배치</t>
        </is>
      </c>
      <c r="D22" s="8" t="inlineStr">
        <is>
          <t>로드맵 7</t>
        </is>
      </c>
    </row>
    <row r="23" ht="20.5" customHeight="1" s="14">
      <c r="A23" s="11" t="inlineStr">
        <is>
          <t>전공 추천 점수 표시</t>
        </is>
      </c>
      <c r="B23" s="15" t="inlineStr">
        <is>
          <t>'유사도 1.00'과 내부 방식 이름</t>
        </is>
      </c>
      <c r="C23" s="15" t="inlineStr">
        <is>
          <t>'상대 점수'와 주관 학과</t>
        </is>
      </c>
      <c r="D23" s="4" t="inlineStr">
        <is>
          <t>전공 추천 전체</t>
        </is>
      </c>
    </row>
    <row r="24" ht="35" customHeight="1" s="14">
      <c r="A24" s="12" t="inlineStr">
        <is>
          <t>화면 안내</t>
        </is>
      </c>
      <c r="B24" s="18" t="inlineStr">
        <is>
          <t>예시 입력은 챗봇에만</t>
        </is>
      </c>
      <c r="C24" s="18" t="inlineStr">
        <is>
          <t>탭마다 예시 버튼, 로드맵 시작 학기 선택, 답변 대기 안내</t>
        </is>
      </c>
      <c r="D24" s="8" t="inlineStr">
        <is>
          <t>화면</t>
        </is>
      </c>
    </row>
    <row r="26" ht="18" customHeight="1" s="14">
      <c r="A26" s="1" t="inlineStr">
        <is>
          <t>검증</t>
        </is>
      </c>
    </row>
    <row r="27" ht="22" customHeight="1" s="14">
      <c r="A27" s="19" t="inlineStr">
        <is>
          <t>항목</t>
        </is>
      </c>
      <c r="B27" s="19" t="inlineStr">
        <is>
          <t>결과</t>
        </is>
      </c>
      <c r="C27" s="16" t="n"/>
      <c r="D27" s="17" t="n"/>
    </row>
    <row r="28" ht="22" customHeight="1" s="14">
      <c r="A28" s="11" t="inlineStr">
        <is>
          <t>툴 호출 정확도</t>
        </is>
      </c>
      <c r="B28" s="15" t="inlineStr">
        <is>
          <t>기존 벤치 8문항(tests/bench_local.py, qwen3:8b) 수정 전 88% → 수정 후 100%. 9월 15일 주석 일괄 삭제 때 사라진 툴 설명을 복원한 효과</t>
        </is>
      </c>
      <c r="C28" s="16" t="n"/>
      <c r="D28" s="17" t="n"/>
    </row>
    <row r="29" ht="22" customHeight="1" s="14">
      <c r="A29" s="12" t="inlineStr">
        <is>
          <t>선수과목 순서</t>
        </is>
      </c>
      <c r="B29" s="18" t="inlineStr">
        <is>
          <t>교과목 시트 30개(폐지 1개 포함) 전체 로드맵에서 순서 위배 0건 (기존 테스트 test_all)</t>
        </is>
      </c>
      <c r="C29" s="16" t="n"/>
      <c r="D29" s="17" t="n"/>
    </row>
    <row r="30" ht="22" customHeight="1" s="14">
      <c r="A30" s="11" t="inlineStr">
        <is>
          <t>외부 전송</t>
        </is>
      </c>
      <c r="B30" s="15" t="inlineStr">
        <is>
          <t>소켓 감사로 외부 연결 0건 확인 (verify_egress). 대화는 서버 밖으로 나가지 않음</t>
        </is>
      </c>
      <c r="C30" s="16" t="n"/>
      <c r="D30" s="17" t="n"/>
    </row>
    <row r="31" ht="22" customHeight="1" s="14">
      <c r="A31" s="12" t="inlineStr">
        <is>
          <t>교차검증</t>
        </is>
      </c>
      <c r="B31" s="18" t="inlineStr">
        <is>
          <t>수정 전 결과의 문제 목록을 ChatGPT Codex(gpt-6-astra)와 Gemini(gemini-3-flash-preview)로 대조해 확정. 수정 후 수치는 같은 판정 기준으로 실행 결과에서 자동 계산</t>
        </is>
      </c>
      <c r="C31" s="16" t="n"/>
      <c r="D31" s="17" t="n"/>
    </row>
  </sheetData>
  <mergeCells count="7">
    <mergeCell ref="A1:D1"/>
    <mergeCell ref="B28:D28"/>
    <mergeCell ref="B31:D31"/>
    <mergeCell ref="B27:D27"/>
    <mergeCell ref="B30:D30"/>
    <mergeCell ref="A2:D2"/>
    <mergeCell ref="B29:D29"/>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F15"/>
  <sheetViews>
    <sheetView showGridLines="0" workbookViewId="0">
      <pane xSplit="2" ySplit="4" topLeftCell="C5" activePane="bottomRight" state="frozen"/>
      <selection pane="topRight" activeCell="A1" sqref="A1"/>
      <selection pane="bottomLeft" activeCell="A1" sqref="A1"/>
      <selection pane="bottomRight" activeCell="C15" sqref="C15"/>
    </sheetView>
  </sheetViews>
  <sheetFormatPr baseColWidth="10" defaultColWidth="8.83203125" defaultRowHeight="17"/>
  <cols>
    <col width="7" customWidth="1" style="14" min="1" max="1"/>
    <col width="22" customWidth="1" style="14" min="2" max="2"/>
    <col width="30" customWidth="1" style="14" min="3" max="3"/>
    <col width="80" customWidth="1" style="14" min="4" max="4"/>
    <col width="16" customWidth="1" style="14" min="5" max="5"/>
    <col width="10" customWidth="1" style="14" min="6" max="6"/>
  </cols>
  <sheetData>
    <row r="1" ht="30" customHeight="1" s="14">
      <c r="A1" s="13" t="inlineStr">
        <is>
          <t>챗봇 · 입력 10개와 실제 응답</t>
        </is>
      </c>
    </row>
    <row r="2" ht="34" customHeight="1" s="14">
      <c r="A2" s="20" t="n"/>
    </row>
    <row r="4" ht="22" customHeight="1" s="14">
      <c r="A4" s="19" t="inlineStr">
        <is>
          <t>번호</t>
        </is>
      </c>
      <c r="B4" s="19" t="inlineStr">
        <is>
          <t>사용자 상황</t>
        </is>
      </c>
      <c r="C4" s="19" t="inlineStr">
        <is>
          <t>실제 입력</t>
        </is>
      </c>
      <c r="D4" s="19" t="inlineStr">
        <is>
          <t>실제 응답</t>
        </is>
      </c>
      <c r="E4" s="19" t="inlineStr">
        <is>
          <t>사용 기능</t>
        </is>
      </c>
      <c r="F4" s="19" t="inlineStr">
        <is>
          <t>응답 시간(초)</t>
        </is>
      </c>
    </row>
    <row r="5" ht="209" customHeight="1" s="14">
      <c r="A5" s="3" t="n">
        <v>1</v>
      </c>
      <c r="B5" s="15" t="inlineStr">
        <is>
          <t>진로 탐색 중인 생명과학부 학생</t>
        </is>
      </c>
      <c r="C5" s="15" t="inlineStr">
        <is>
          <t>생물 데이터로 질병 예측 모델을 만들고 싶은데 어떤 융합전공이 맞을까요?</t>
        </is>
      </c>
      <c r="D5" s="15" t="inlineStr">
        <is>
          <t>추천 융합전공
1. 메디컬융합공학 · KU-KIST융합대학원 (상대 점수 1.00)
2. 미생물융합기술 · 생명과학대학 환경생태공학부 (상대 점수 0.89)
3. 뇌인지과학 · 정보대학 컴퓨터학과 (상대 점수 0.85)
4. 인공지능응용 · 정보대학 컴퓨터학과 (상대 점수 0.83)
5. 의료인문학 · 문과대학 (상대 점수 0.80)
(상대 점수는 후보 전공끼리 비교한 값으로 1위가 1.00)
메디컬융합공학, 미생물융합기술, 뇌인지과학, 인공지능응용, 의료인문학 등 5개 전공이 후보입니다. 1. 메디컬융합공학 (1.00점) - 생물 관련 기술로 질병 모델 개발에 적합 2. 미생물융합기술 (0.89점) - 생물·질병 키워드 모두 매칭 3. 뇌인지과학 (0.85점) - 생물 기반 인지 분석에 강점 4. 인공지능응용 (0.83점) - 데이터 기반 예측 모델 개발 분야 5. 의료인문학 (0.80점) - 의료 융합과 생물학적 접근 가능 필요한 전공을 선택해 주세요. 해당 전공의 교과목, 졸업요건, 로드맵 등 자세히 안내해 드릴게요.</t>
        </is>
      </c>
      <c r="E5" s="15" t="inlineStr">
        <is>
          <t>전공 추천 (성공)</t>
        </is>
      </c>
      <c r="F5" s="21" t="n">
        <v>23.8</v>
      </c>
    </row>
    <row r="6" ht="93" customHeight="1" s="14">
      <c r="A6" s="7" t="n">
        <v>2</v>
      </c>
      <c r="B6" s="18" t="inlineStr">
        <is>
          <t>전공 정보를 찾는 학생</t>
        </is>
      </c>
      <c r="C6" s="18" t="inlineStr">
        <is>
          <t>인공지능응용 융합전공 전공필수 과목이 뭐예요?</t>
        </is>
      </c>
      <c r="D6" s="18" t="inlineStr">
        <is>
          <t>인공지능응용 교과목 2개
전공필수 COSE362 기계학습 (3학점, 권장 3/2)
전공필수 COSE213 자료구조 (3학점, 권장 3/1)
인공지능응용 전공필수 과목은 다음과 같아요. - COSE362 기계학습 (3학점, 권장 3/2 학기) - COSE213 자료구조 (3학점, 권장 3/1 학기) 추가 문의는 학과에 확인해 주세요.</t>
        </is>
      </c>
      <c r="E6" s="18" t="inlineStr">
        <is>
          <t>교과목 조회 (성공)</t>
        </is>
      </c>
      <c r="F6" s="22" t="n">
        <v>19.84</v>
      </c>
    </row>
    <row r="7" ht="122" customHeight="1" s="14">
      <c r="A7" s="3" t="n">
        <v>3</v>
      </c>
      <c r="B7" s="15" t="inlineStr">
        <is>
          <t>과목명으로 이수 현황을 말하는 학생</t>
        </is>
      </c>
      <c r="C7" s="15" t="inlineStr">
        <is>
          <t>AICE에서 자료구조랑 기계학습 들었는데 졸업하려면 몇 학점 더 들어야 해요?</t>
        </is>
      </c>
      <c r="D7" s="15" t="inlineStr">
        <is>
          <t>인공지능응용 졸업요건
총 이수학점: 36학점 중 6학점 이수 (30학점 남음)
전공필수: 6학점 중 6학점 이수 (충족)
규정: 일반 융합전공 기준
융합전공 졸업요건 미충족
인공지능응용 전공은 총 36학점을 이수해야 하며, 현재 6학점만 이수했습니다. 졸업까지 30학점이 더 필요합니다. 수강 과목을 추가하거나 커리큘럼을 확인해 보시겠어요?</t>
        </is>
      </c>
      <c r="E7" s="15" t="inlineStr">
        <is>
          <t>졸업요건 확인 (성공)</t>
        </is>
      </c>
      <c r="F7" s="21" t="n">
        <v>7.44</v>
      </c>
    </row>
    <row r="8" ht="209" customHeight="1" s="14">
      <c r="A8" s="7" t="n">
        <v>4</v>
      </c>
      <c r="B8" s="18" t="inlineStr">
        <is>
          <t>조건을 붙여 로드맵을 요청하는 학생</t>
        </is>
      </c>
      <c r="C8" s="18" t="inlineStr">
        <is>
          <t>정보보호 융합전공 로드맵 짜 주세요. 지금 3학년 1학기고 한 학기에 15학점까지 들을 수 있어요</t>
        </is>
      </c>
      <c r="D8" s="18" t="inlineStr">
        <is>
          <t>정보보호 수강 로드맵
3학년 1학기 (12학점): 계산이론(COSE215), 컴퓨터구조(COSE222), C언어 및 실습(SMRT111), 스타트업CampusCEO2.0(Ⅰ)(SPGE220)
3학년 2학기 (12학점): 암호수학(SMRT221), 현대암호학(SMRT222), 해킹개론(SMRT226), 운영체제(COSE341)
4학년 1학기 (12학점): 컴파일러(COSE312), 컴퓨터네트워크(COSE342), 소프트웨어공학(COSE352), 정보보호(COSE354)
총 36학점 / 3학기 (융합전공 졸업요건 36학점)
선수과목 순서 위배: 0건
(졸업요건을 채워 나머지 18과목은 제외)
정보보호 융합전공 졸업 요건 36학점은 3학년 1학기부터 4학년 1학기까지 12학점씩 3학기로 완료 가능해요. 현재 3/1 학기부터 시작해 3/2, 4/1 순서로 수강할 수 있도록 로드맵을 짰어요. 필요하시면 수강 순서 조정이나 졸업요건 확인도 도와드릴게요!</t>
        </is>
      </c>
      <c r="E8" s="18" t="inlineStr">
        <is>
          <t>로드맵 생성 (성공)</t>
        </is>
      </c>
      <c r="F8" s="22" t="n">
        <v>12.69</v>
      </c>
    </row>
    <row r="9" ht="151" customHeight="1" s="14">
      <c r="A9" s="3" t="n">
        <v>5</v>
      </c>
      <c r="B9" s="15" t="inlineStr">
        <is>
          <t>학번을 함께 말하는 학생 (개인정보 마스킹 확인)
화면 표시 입력: 제 학번은 [비식별]이에요. 금융공학 융합전공 졸업요건 알려주세요</t>
        </is>
      </c>
      <c r="C9" s="15" t="inlineStr">
        <is>
          <t>제 학번은 2021320123이에요. 금융공학 융합전공 졸업요건 알려주세요</t>
        </is>
      </c>
      <c r="D9" s="15" t="inlineStr">
        <is>
          <t>입력에서 학번을 발견해 가렸습니다. 이 시스템은 학수번호와 학년·학기만 있으면 동작하므로 개인정보를 적지 않으셔도 됩니다.
금융공학 졸업요건
총 이수학점: 36학점 중 0학점 이수 (36학점 남음)
규정: 전공필수 구분 없음 (전공선택으로 이수)
융합전공 졸업요건 미충족
금융공학 전공은 총 36학점이 필요해요. 현재 이수한 과목이 없어서 모두 남아있어요. 지금까지 수강한 과목이 있으면 확인해 주세요! 추가 문의 사항이 있나요?</t>
        </is>
      </c>
      <c r="E9" s="15" t="inlineStr">
        <is>
          <t>졸업요건 확인 (성공)</t>
        </is>
      </c>
      <c r="F9" s="21" t="n">
        <v>8.550000000000001</v>
      </c>
    </row>
    <row r="10" ht="78.5" customHeight="1" s="14">
      <c r="A10" s="7" t="n">
        <v>6</v>
      </c>
      <c r="B10" s="18" t="inlineStr">
        <is>
          <t>주전공 이중전공을 묻는 학생 (범위 밖)</t>
        </is>
      </c>
      <c r="C10" s="18" t="inlineStr">
        <is>
          <t>컴퓨터학과 이중전공 하려면 뭐 들어야 해요?</t>
        </is>
      </c>
      <c r="D10" s="18" t="inlineStr">
        <is>
          <t>이 서비스는 고려대 서울캠퍼스 융합전공만 다룹니다. 주전공·이중전공·부전공 교육과정은 포함하고 있지 않으니 소속 학과나 학사 공지에서 확인해 주세요.
관심 분야나 진로를 알려주시면 맞는 융합전공을 찾아드릴게요. (예: 데이터 분석에 관심 있어요)</t>
        </is>
      </c>
      <c r="E10" s="18" t="inlineStr">
        <is>
          <t>기능 호출 없음 (일반 대화)</t>
        </is>
      </c>
      <c r="F10" s="22" t="n">
        <v>0.06</v>
      </c>
    </row>
    <row r="11" ht="180" customHeight="1" s="14">
      <c r="A11" s="3" t="inlineStr">
        <is>
          <t>7-1</t>
        </is>
      </c>
      <c r="B11" s="15" t="inlineStr">
        <is>
          <t>추천을 받은 뒤 이어서 로드맵을 묻는 학생 (2턴 대화) (1번째 입력)</t>
        </is>
      </c>
      <c r="C11" s="15" t="inlineStr">
        <is>
          <t>경영학과 학생인데 창업에 관심이 있어요. 어떤 융합전공이 좋을까요?</t>
        </is>
      </c>
      <c r="D11" s="15" t="inlineStr">
        <is>
          <t>추천 융합전공
1. 기술창업 · 크림슨창업지원단 (상대 점수 1.00)
2. 소프트웨어기술벤쳐 · 정보대학 컴퓨터학과 (상대 점수 0.69)
3. 정보보호 · 정보대학 컴퓨터학과 (상대 점수 0.62)
4. 인문사회디지털콘텐츠 · 인문사회 디지털융합 인재양성사업단 (상대 점수 0.61)
5. 개인정보보호 · 스마트보안학부 (상대 점수 0.34)
(상대 점수는 후보 전공끼리 비교한 값으로 1위가 1.00)
기술창업 전공이 가장 적합해요! 창업에 대한 직접적인 키워드 매칭도 높고, 크림슨창업지원단에서 운영하는 전공입니다. 다음으로는 소프트웨어기술벤쳐, 정보보호, 인문사회디지털콘텐츠 등이 후보에요. 관심 있는 전공의 교과목이나 졸업요건을 더 알고 싶으면 말씀해주세요!</t>
        </is>
      </c>
      <c r="E11" s="15" t="inlineStr">
        <is>
          <t>전공 추천 (성공)</t>
        </is>
      </c>
      <c r="F11" s="21" t="n">
        <v>9.02</v>
      </c>
    </row>
    <row r="12" ht="252.5" customHeight="1" s="14">
      <c r="A12" s="7" t="inlineStr">
        <is>
          <t>7-2</t>
        </is>
      </c>
      <c r="B12" s="18" t="inlineStr">
        <is>
          <t>추천을 받은 뒤 이어서 로드맵을 묻는 학생 (2턴 대화) (2번째 입력)</t>
        </is>
      </c>
      <c r="C12" s="18" t="inlineStr">
        <is>
          <t>그럼 첫 번째로 추천해 준 전공 로드맵 짜 주세요. 한 학기에 12학점까지만 들을 수 있어요</t>
        </is>
      </c>
      <c r="D12" s="18" t="inlineStr">
        <is>
          <t>기술창업 수강 로드맵
3학년 1학기 (12학점): 스타트업CampusCEO2.0(Ⅰ)(SPGE220), 창업현장실습Ⅰ(TEEN311), 창업활동실습Ⅰ(TEEN313), 혁신성장창업트렌드(TEEN303)
3학년 2학기 (12학점): 스타트업CampusCEO2.0(Ⅱ)(SPGE221), 기술창업전략(TEEN306), 창업현장실습Ⅱ(TEEN312)
4학년 1학기 (12학점): 창업활동실습Ⅱ(TEEN314), 창업가의마인드셋(BUSS165), 건축시스템의이해(ACEE123)
총 36학점 / 3학기 (융합전공 졸업요건 36학점)
선수과목 순서 위배: 0건
(졸업요건을 채워 나머지 34과목은 제외)
3학년 1학기부터 4학년 1학기까지 36학점이 필요한 기술창업 전공 로드맵을 짰어요. 3학년 1학기: 스타트업CampusCEO2.0, 창업현장실습Ⅰ, 창업활동실습Ⅰ, 혁신성장창업트렌드 3학년 2학기: 스타트업CampusCEO2.0, 기술창업전략, 창업현장실습Ⅱ 4학년 1학기: 창업활동실습Ⅱ, 창업가의마인드셋, 건축시스템의이해 34개 과목은 졸업요건 외 선택과목으로, 관심 분야에 맞춰 추가 수강 가능합니다. 다음 학기 수강 순서 조정이나 특정 과목 추가에 대해 더 알려주세요!</t>
        </is>
      </c>
      <c r="E12" s="18" t="inlineStr">
        <is>
          <t>로드맵 생성 (성공)</t>
        </is>
      </c>
      <c r="F12" s="22" t="n">
        <v>13.7</v>
      </c>
    </row>
    <row r="13" ht="78.5" customHeight="1" s="14">
      <c r="A13" s="3" t="n">
        <v>8</v>
      </c>
      <c r="B13" s="15" t="inlineStr">
        <is>
          <t>강의계획서 내용을 묻는 학생 (오프라인 모드에서 차단된 기능)</t>
        </is>
      </c>
      <c r="C13" s="15" t="inlineStr">
        <is>
          <t>COSE213 강의계획서에서 평가 방식이랑 주차별 수업 내용 알려 주세요</t>
        </is>
      </c>
      <c r="D13" s="15" t="inlineStr">
        <is>
          <t>강의계획서를 조회할 수 없습니다.
강의계획서 조회는 현재 오프라인 모드에서는 지원되지 않습니다. 교내망을 통해 확인하고자 하신다면, 고려대학교 교내망을 사용해 주세요. 관련 문의는 해당 강의 개설 학과에 드릴 수 있습니다. 다른 궁금사항 있으신가요?</t>
        </is>
      </c>
      <c r="E13" s="15" t="inlineStr">
        <is>
          <t>강의계획서 조회 (실패)</t>
        </is>
      </c>
      <c r="F13" s="21" t="n">
        <v>6.79</v>
      </c>
    </row>
    <row r="14" ht="35" customHeight="1" s="14">
      <c r="A14" s="7" t="n">
        <v>9</v>
      </c>
      <c r="B14" s="18" t="inlineStr">
        <is>
          <t>행정 일정을 묻는 학생 (데이터 밖)</t>
        </is>
      </c>
      <c r="C14" s="18" t="inlineStr">
        <is>
          <t>융합전공 신청 기간이 언제예요?</t>
        </is>
      </c>
      <c r="D14" s="18" t="inlineStr">
        <is>
          <t>융합전공 신청 기간은 학과 및 관련 학사 규정에 따라 다를 수 있으며, 이에 대한 안내는 고려대학교 홈페이지 또는 관련 학과사무실에서 확인하시기 바랍니다.</t>
        </is>
      </c>
      <c r="E14" s="18" t="inlineStr">
        <is>
          <t>기능 호출 없음 (일반 대화)</t>
        </is>
      </c>
      <c r="F14" s="22" t="n">
        <v>2.58</v>
      </c>
    </row>
    <row r="15" ht="64" customHeight="1" s="14">
      <c r="A15" s="3" t="n">
        <v>10</v>
      </c>
      <c r="B15" s="15" t="inlineStr">
        <is>
          <t>처음 접속한 학생</t>
        </is>
      </c>
      <c r="C15" s="15" t="inlineStr">
        <is>
          <t>안녕하세요, 여기서 뭘 물어볼 수 있어요?</t>
        </is>
      </c>
      <c r="D15" s="15" t="inlineStr">
        <is>
          <t>안녕하세요! 융합전공 관련 궁금한 점이 있다면 아래 네 가지로 문의해 주세요: 1. 관심 분야에 맞는 전공 추천 (예: "AI에 관심 있는데 어떤 전공이 있나요?") 2. 전공의 교과목 또는 커리큘럼 확인 3. 졸업요건 충족 여부 및 학점 확인 4. 수강 로드맵 작성 및 순서 안내 행정 사항(신청 기간 등)은 학과나 학사 공지에서 확인해 주세요!</t>
        </is>
      </c>
      <c r="E15" s="15" t="inlineStr">
        <is>
          <t>기능 호출 없음 (일반 대화)</t>
        </is>
      </c>
      <c r="F15" s="21" t="n">
        <v>3.39</v>
      </c>
    </row>
  </sheetData>
  <mergeCells count="2">
    <mergeCell ref="A2:F2"/>
    <mergeCell ref="A1:F1"/>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F37"/>
  <sheetViews>
    <sheetView showGridLines="0" workbookViewId="0">
      <pane xSplit="2" ySplit="4" topLeftCell="C5" activePane="bottomRight" state="frozen"/>
      <selection pane="topRight" activeCell="A1" sqref="A1"/>
      <selection pane="bottomLeft" activeCell="A1" sqref="A1"/>
      <selection pane="bottomRight" activeCell="A2" sqref="A2:F2"/>
    </sheetView>
  </sheetViews>
  <sheetFormatPr baseColWidth="10" defaultColWidth="8.83203125" defaultRowHeight="17"/>
  <cols>
    <col width="7" customWidth="1" style="14" min="1" max="2"/>
    <col width="30" customWidth="1" style="14" min="3" max="3"/>
    <col width="82" customWidth="1" style="14" min="4" max="4"/>
    <col width="16" customWidth="1" style="14" min="5" max="5"/>
    <col width="10" customWidth="1" style="14" min="6" max="6"/>
  </cols>
  <sheetData>
    <row r="1" ht="30" customHeight="1" s="14">
      <c r="A1" s="13" t="inlineStr">
        <is>
          <t>챗봇 3회 반복 기록</t>
        </is>
      </c>
    </row>
    <row r="2" ht="34" customHeight="1" s="14">
      <c r="A2" s="20" t="n"/>
    </row>
    <row r="4" ht="22" customHeight="1" s="14">
      <c r="A4" s="19" t="inlineStr">
        <is>
          <t>번호</t>
        </is>
      </c>
      <c r="B4" s="19" t="inlineStr">
        <is>
          <t>회차</t>
        </is>
      </c>
      <c r="C4" s="19" t="inlineStr">
        <is>
          <t>실제 입력</t>
        </is>
      </c>
      <c r="D4" s="19" t="inlineStr">
        <is>
          <t>실제 응답</t>
        </is>
      </c>
      <c r="E4" s="19" t="inlineStr">
        <is>
          <t>사용 기능</t>
        </is>
      </c>
      <c r="F4" s="19" t="inlineStr">
        <is>
          <t>응답 시간(초)</t>
        </is>
      </c>
    </row>
    <row r="5" ht="209" customHeight="1" s="14">
      <c r="A5" s="3" t="n">
        <v>1</v>
      </c>
      <c r="B5" s="4" t="n">
        <v>1</v>
      </c>
      <c r="C5" s="15" t="inlineStr">
        <is>
          <t>생물 데이터로 질병 예측 모델을 만들고 싶은데 어떤 융합전공이 맞을까요?</t>
        </is>
      </c>
      <c r="D5" s="15" t="inlineStr">
        <is>
          <t>추천 융합전공
1. 메디컬융합공학 · KU-KIST융합대학원 (상대 점수 1.00)
2. 미생물융합기술 · 생명과학대학 환경생태공학부 (상대 점수 0.89)
3. 뇌인지과학 · 정보대학 컴퓨터학과 (상대 점수 0.85)
4. 인공지능응용 · 정보대학 컴퓨터학과 (상대 점수 0.83)
5. 의료인문학 · 문과대학 (상대 점수 0.80)
(상대 점수는 후보 전공끼리 비교한 값으로 1위가 1.00)
메디컬융합공학, 미생물융합기술, 뇌인지과학, 인공지능응용, 의료인문학 등 5개 전공이 후보입니다. 1. 메디컬융합공학 (1.00점) - 생물 관련 기술로 질병 모델 개발에 적합 2. 미생물융합기술 (0.89점) - 생물·질병 키워드 모두 매칭 3. 뇌인지과학 (0.85점) - 생물 기반 인지 분석에 강점 4. 인공지능응용 (0.83점) - 데이터 기반 예측 모델 개발 분야 5. 의료인문학 (0.80점) - 의료 융합과 생물학적 접근 가능 필요한 전공을 선택해 주세요. 해당 전공의 교과목, 졸업요건, 로드맵 등 자세히 안내해 드릴게요.</t>
        </is>
      </c>
      <c r="E5" s="15" t="inlineStr">
        <is>
          <t>전공 추천 (성공)</t>
        </is>
      </c>
      <c r="F5" s="21" t="n">
        <v>23.8</v>
      </c>
    </row>
    <row r="6" ht="180" customHeight="1" s="14">
      <c r="A6" s="7" t="n">
        <v>1</v>
      </c>
      <c r="B6" s="8" t="n">
        <v>2</v>
      </c>
      <c r="C6" s="18" t="inlineStr">
        <is>
          <t>생물 데이터로 질병 예측 모델을 만들고 싶은데 어떤 융합전공이 맞을까요?</t>
        </is>
      </c>
      <c r="D6" s="18" t="inlineStr">
        <is>
          <t>추천 융합전공
1. 메디컬융합공학 · KU-KIST융합대학원 (상대 점수 1.00)
2. 미생물융합기술 · 생명과학대학 환경생태공학부 (상대 점수 0.89)
3. 뇌인지과학 · 정보대학 컴퓨터학과 (상대 점수 0.87)
4. 인공지능응용 · 정보대학 컴퓨터학과 (상대 점수 0.86)
5. 의료인문학 · 문과대학 (상대 점수 0.82)
(상대 점수는 후보 전공끼리 비교한 값으로 1위가 1.00)
메디컬융합공학과 미생물융합기술 전공이 가장 관련성이 높아요. 메디컬융합공학은 생물데이터 분석을 기반으로 한 의료기술 개발에 중점을 두고 있으며, 미생물융합기술은 질병 관련 생물데이터를 다루는 방면입니다. 더 자세한 교과목 정보나 졸업요건을 확인하시려면 전공 이름을 말씀해주세요!</t>
        </is>
      </c>
      <c r="E6" s="18" t="inlineStr">
        <is>
          <t>전공 추천 (성공)</t>
        </is>
      </c>
      <c r="F6" s="22" t="n">
        <v>27</v>
      </c>
    </row>
    <row r="7" ht="165.5" customHeight="1" s="14">
      <c r="A7" s="3" t="n">
        <v>1</v>
      </c>
      <c r="B7" s="4" t="n">
        <v>3</v>
      </c>
      <c r="C7" s="15" t="inlineStr">
        <is>
          <t>생물 데이터로 질병 예측 모델을 만들고 싶은데 어떤 융합전공이 맞을까요?</t>
        </is>
      </c>
      <c r="D7" s="15" t="inlineStr">
        <is>
          <t>추천 융합전공
1. 메디컬융합공학 · KU-KIST융합대학원 (상대 점수 1.00)
2. 미생물융합기술 · 생명과학대학 환경생태공학부 (상대 점수 0.93)
3. 뇌인지과학 · 정보대학 컴퓨터학과 (상대 점수 0.86)
4. 의료인문학 · 문과대학 (상대 점수 0.84)
5. 인공지능응용 · 정보대학 컴퓨터학과 (상대 점수 0.83)
(상대 점수는 후보 전공끼리 비교한 값으로 1위가 1.00)
메디컬융합공학과 미생물융합기술이 가장 유사한 분야입니다. 메디컬융합공학은 생물데이터를 기반으로 의료기술 개발에 초점이 맞춰져 있고, 미생물융합기술은 질병 관련 생물학적 데이터 분석에 강점이 있습니다. 더 알고 싶은 전공이 있을까요?</t>
        </is>
      </c>
      <c r="E7" s="15" t="inlineStr">
        <is>
          <t>전공 추천 (성공)</t>
        </is>
      </c>
      <c r="F7" s="21" t="n">
        <v>21.83</v>
      </c>
    </row>
    <row r="8" ht="93" customHeight="1" s="14">
      <c r="A8" s="7" t="n">
        <v>2</v>
      </c>
      <c r="B8" s="8" t="n">
        <v>1</v>
      </c>
      <c r="C8" s="18" t="inlineStr">
        <is>
          <t>인공지능응용 융합전공 전공필수 과목이 뭐예요?</t>
        </is>
      </c>
      <c r="D8" s="18" t="inlineStr">
        <is>
          <t>인공지능응용 교과목 2개
전공필수 COSE362 기계학습 (3학점, 권장 3/2)
전공필수 COSE213 자료구조 (3학점, 권장 3/1)
인공지능응용 전공필수 과목은 다음과 같아요. - COSE362 기계학습 (3학점, 권장 3/2 학기) - COSE213 자료구조 (3학점, 권장 3/1 학기) 추가 문의는 학과에 확인해 주세요.</t>
        </is>
      </c>
      <c r="E8" s="18" t="inlineStr">
        <is>
          <t>교과목 조회 (성공)</t>
        </is>
      </c>
      <c r="F8" s="22" t="n">
        <v>19.84</v>
      </c>
    </row>
    <row r="9" ht="93" customHeight="1" s="14">
      <c r="A9" s="3" t="n">
        <v>2</v>
      </c>
      <c r="B9" s="4" t="n">
        <v>2</v>
      </c>
      <c r="C9" s="15" t="inlineStr">
        <is>
          <t>인공지능응용 융합전공 전공필수 과목이 뭐예요?</t>
        </is>
      </c>
      <c r="D9" s="15" t="inlineStr">
        <is>
          <t>인공지능응용 교과목 2개
전공필수 COSE362 기계학습 (3학점, 권장 3/2)
전공필수 COSE213 자료구조 (3학점, 권장 3/1)
인공지능응용 전공필수 과목은 COSE362 기계학습 (3학점, 권장 3/2)과 COSE213 자료구조 (3학점, 권장 3/1)입니다. 총 2개의 전공필수 과목이 있어요.</t>
        </is>
      </c>
      <c r="E9" s="15" t="inlineStr">
        <is>
          <t>교과목 조회 (성공)</t>
        </is>
      </c>
      <c r="F9" s="21" t="n">
        <v>6.69</v>
      </c>
    </row>
    <row r="10" ht="107.5" customHeight="1" s="14">
      <c r="A10" s="7" t="n">
        <v>2</v>
      </c>
      <c r="B10" s="8" t="n">
        <v>3</v>
      </c>
      <c r="C10" s="18" t="inlineStr">
        <is>
          <t>인공지능응용 융합전공 전공필수 과목이 뭐예요?</t>
        </is>
      </c>
      <c r="D10" s="18" t="inlineStr">
        <is>
          <t>인공지능응용 교과목 2개
전공필수 COSE362 기계학습 (3학점, 권장 3/2)
전공필수 COSE213 자료구조 (3학점, 권장 3/1)
인공지능응용 전공필수 과목은 [기계학습(COSE362, 3학점, 권장 3/2), 자료구조(COSE213, 3학점, 권장 3/1)]입니다. 총 2개의 전공필수 과목이 있어요. 추가로 궁금한 점이나 수강 계획 도움이 필요하시면 말씀해주세요!</t>
        </is>
      </c>
      <c r="E10" s="18" t="inlineStr">
        <is>
          <t>교과목 조회 (성공)</t>
        </is>
      </c>
      <c r="F10" s="22" t="n">
        <v>7.97</v>
      </c>
    </row>
    <row r="11" ht="122" customHeight="1" s="14">
      <c r="A11" s="3" t="n">
        <v>3</v>
      </c>
      <c r="B11" s="4" t="n">
        <v>1</v>
      </c>
      <c r="C11" s="15" t="inlineStr">
        <is>
          <t>AICE에서 자료구조랑 기계학습 들었는데 졸업하려면 몇 학점 더 들어야 해요?</t>
        </is>
      </c>
      <c r="D11" s="15" t="inlineStr">
        <is>
          <t>인공지능응용 졸업요건
총 이수학점: 36학점 중 6학점 이수 (30학점 남음)
전공필수: 6학점 중 6학점 이수 (충족)
규정: 일반 융합전공 기준
융합전공 졸업요건 미충족
인공지능응용 전공은 총 36학점을 이수해야 하며, 현재 6학점만 이수했습니다. 졸업까지 30학점이 더 필요합니다. 수강 과목을 추가하거나 커리큘럼을 확인해 보시겠어요?</t>
        </is>
      </c>
      <c r="E11" s="15" t="inlineStr">
        <is>
          <t>졸업요건 확인 (성공)</t>
        </is>
      </c>
      <c r="F11" s="21" t="n">
        <v>7.44</v>
      </c>
    </row>
    <row r="12" ht="136.5" customHeight="1" s="14">
      <c r="A12" s="7" t="n">
        <v>3</v>
      </c>
      <c r="B12" s="8" t="n">
        <v>2</v>
      </c>
      <c r="C12" s="18" t="inlineStr">
        <is>
          <t>AICE에서 자료구조랑 기계학습 들었는데 졸업하려면 몇 학점 더 들어야 해요?</t>
        </is>
      </c>
      <c r="D12" s="18" t="inlineStr">
        <is>
          <t>인공지능응용 졸업요건
총 이수학점: 36학점 중 6학점 이수 (30학점 남음)
전공필수: 6학점 중 6학점 이수 (충족)
규정: 일반 융합전공 기준
융합전공 졸업요건 미충족
인공지능응용 전공은 총 36학점 중 6학점만 이수했으니 30학점 더 들어야 합니다. 전공필수 과목은 모두 이수했지만, 전공선택 과목에서 추가 학점이 필요해요. 로드맵 짜시거나 남은 과목 추천 받으시겠어요?</t>
        </is>
      </c>
      <c r="E12" s="18" t="inlineStr">
        <is>
          <t>졸업요건 확인 (성공)</t>
        </is>
      </c>
      <c r="F12" s="22" t="n">
        <v>9.1</v>
      </c>
    </row>
    <row r="13" ht="122" customHeight="1" s="14">
      <c r="A13" s="3" t="n">
        <v>3</v>
      </c>
      <c r="B13" s="4" t="n">
        <v>3</v>
      </c>
      <c r="C13" s="15" t="inlineStr">
        <is>
          <t>AICE에서 자료구조랑 기계학습 들었는데 졸업하려면 몇 학점 더 들어야 해요?</t>
        </is>
      </c>
      <c r="D13" s="15" t="inlineStr">
        <is>
          <t>인공지능응용 졸업요건
총 이수학점: 36학점 중 6학점 이수 (30학점 남음)
전공필수: 6학점 중 6학점 이수 (충족)
규정: 일반 융합전공 기준
융합전공 졸업요건 미충족
인공지능응용 전공 졸업까지 30학점이 더 필요합니다. 전공필수 과목은 모두 이수했으나, 총 이수학점이 부족합니다. 남은 학점을 어떻게 채울지 로드맵을 함께 짜고 싶으신가요?</t>
        </is>
      </c>
      <c r="E13" s="15" t="inlineStr">
        <is>
          <t>졸업요건 확인 (성공)</t>
        </is>
      </c>
      <c r="F13" s="21" t="n">
        <v>11.29</v>
      </c>
    </row>
    <row r="14" ht="209" customHeight="1" s="14">
      <c r="A14" s="7" t="n">
        <v>4</v>
      </c>
      <c r="B14" s="8" t="n">
        <v>1</v>
      </c>
      <c r="C14" s="18" t="inlineStr">
        <is>
          <t>정보보호 융합전공 로드맵 짜 주세요. 지금 3학년 1학기고 한 학기에 15학점까지 들을 수 있어요</t>
        </is>
      </c>
      <c r="D14" s="18" t="inlineStr">
        <is>
          <t>정보보호 수강 로드맵
3학년 1학기 (12학점): 계산이론(COSE215), 컴퓨터구조(COSE222), C언어 및 실습(SMRT111), 스타트업CampusCEO2.0(Ⅰ)(SPGE220)
3학년 2학기 (12학점): 암호수학(SMRT221), 현대암호학(SMRT222), 해킹개론(SMRT226), 운영체제(COSE341)
4학년 1학기 (12학점): 컴파일러(COSE312), 컴퓨터네트워크(COSE342), 소프트웨어공학(COSE352), 정보보호(COSE354)
총 36학점 / 3학기 (융합전공 졸업요건 36학점)
선수과목 순서 위배: 0건
(졸업요건을 채워 나머지 18과목은 제외)
정보보호 융합전공 졸업 요건 36학점은 3학년 1학기부터 4학년 1학기까지 12학점씩 3학기로 완료 가능해요. 현재 3/1 학기부터 시작해 3/2, 4/1 순서로 수강할 수 있도록 로드맵을 짰어요. 필요하시면 수강 순서 조정이나 졸업요건 확인도 도와드릴게요!</t>
        </is>
      </c>
      <c r="E14" s="18" t="inlineStr">
        <is>
          <t>로드맵 생성 (성공)</t>
        </is>
      </c>
      <c r="F14" s="22" t="n">
        <v>12.69</v>
      </c>
    </row>
    <row r="15" ht="223.5" customHeight="1" s="14">
      <c r="A15" s="3" t="n">
        <v>4</v>
      </c>
      <c r="B15" s="4" t="n">
        <v>2</v>
      </c>
      <c r="C15" s="15" t="inlineStr">
        <is>
          <t>정보보호 융합전공 로드맵 짜 주세요. 지금 3학년 1학기고 한 학기에 15학점까지 들을 수 있어요</t>
        </is>
      </c>
      <c r="D15" s="15" t="inlineStr">
        <is>
          <t>정보보호 수강 로드맵
3학년 1학기 (12학점): 계산이론(COSE215), 컴퓨터구조(COSE222), C언어 및 실습(SMRT111), 스타트업CampusCEO2.0(Ⅰ)(SPGE220)
3학년 2학기 (12학점): 암호수학(SMRT221), 현대암호학(SMRT222), 해킹개론(SMRT226), 운영체제(COSE341)
4학년 1학기 (12학점): 컴파일러(COSE312), 컴퓨터네트워크(COSE342), 소프트웨어공학(COSE352), 정보보호(COSE354)
총 36학점 / 3학기 (융합전공 졸업요건 36학점)
선수과목 순서 위배: 0건
(졸업요건을 채워 나머지 18과목은 제외)
3학년 1학기: 계산이론, 컴퓨터구조, C언어 및 실습, 스타트업CampusCEO2.0 — 12학점 3학년 2학기: 암호수학, 현대암호학, 해킹개론, 운영체제 — 12학점 4학년 1학기: 컴파일러, 컴퓨터네트워크, 소프트웨어공학, 정보보호 — 12학점 잔여 18과목은 전공요건 외 선택과목입니다. 특정 과목 추가하거나 학점 분배 조정이 필요하시면 말씀해주세요!</t>
        </is>
      </c>
      <c r="E15" s="15" t="inlineStr">
        <is>
          <t>로드맵 생성 (성공)</t>
        </is>
      </c>
      <c r="F15" s="21" t="n">
        <v>11.04</v>
      </c>
    </row>
    <row r="16" ht="209" customHeight="1" s="14">
      <c r="A16" s="7" t="n">
        <v>4</v>
      </c>
      <c r="B16" s="8" t="n">
        <v>3</v>
      </c>
      <c r="C16" s="18" t="inlineStr">
        <is>
          <t>정보보호 융합전공 로드맵 짜 주세요. 지금 3학년 1학기고 한 학기에 15학점까지 들을 수 있어요</t>
        </is>
      </c>
      <c r="D16" s="18" t="inlineStr">
        <is>
          <t>정보보호 수강 로드맵
3학년 1학기 (12학점): 계산이론(COSE215), 컴퓨터구조(COSE222), C언어 및 실습(SMRT111), 스타트업CampusCEO2.0(Ⅰ)(SPGE220)
3학년 2학기 (12학점): 암호수학(SMRT221), 현대암호학(SMRT222), 해킹개론(SMRT226), 운영체제(COSE341)
4학년 1학기 (12학점): 컴파일러(COSE312), 컴퓨터네트워크(COSE342), 소프트웨어공학(COSE352), 정보보호(COSE354)
총 36학점 / 3학기 (융합전공 졸업요건 36학점)
선수과목 순서 위배: 0건
(졸업요건을 채워 나머지 18과목은 제외)
3학년 1학기 수강 과목은 계산이론, 컴퓨터구조, C언어 및 실습, 스타트업CampusCEO2.0으로 12학점입니다. 아무래도 선수과목 순서나 관심 과목 추가가 필요하시면, 현재 듣고 계신 과목과 관심 분야를 말씀해 주세요!</t>
        </is>
      </c>
      <c r="E16" s="18" t="inlineStr">
        <is>
          <t>로드맵 생성 (성공)</t>
        </is>
      </c>
      <c r="F16" s="22" t="n">
        <v>9.69</v>
      </c>
    </row>
    <row r="17" ht="151" customHeight="1" s="14">
      <c r="A17" s="3" t="n">
        <v>5</v>
      </c>
      <c r="B17" s="4" t="n">
        <v>1</v>
      </c>
      <c r="C17" s="15" t="inlineStr">
        <is>
          <t>제 학번은 2021320123이에요. 금융공학 융합전공 졸업요건 알려주세요</t>
        </is>
      </c>
      <c r="D17" s="15" t="inlineStr">
        <is>
          <t>입력에서 학번을 발견해 가렸습니다. 이 시스템은 학수번호와 학년·학기만 있으면 동작하므로 개인정보를 적지 않으셔도 됩니다.
금융공학 졸업요건
총 이수학점: 36학점 중 0학점 이수 (36학점 남음)
규정: 전공필수 구분 없음 (전공선택으로 이수)
융합전공 졸업요건 미충족
금융공학 전공은 총 36학점이 필요해요. 현재 이수한 과목이 없어서 모두 남아있어요. 지금까지 수강한 과목이 있으면 확인해 주세요! 추가 문의 사항이 있나요?</t>
        </is>
      </c>
      <c r="E17" s="15" t="inlineStr">
        <is>
          <t>졸업요건 확인 (성공)</t>
        </is>
      </c>
      <c r="F17" s="21" t="n">
        <v>8.550000000000001</v>
      </c>
    </row>
    <row r="18" ht="165.5" customHeight="1" s="14">
      <c r="A18" s="7" t="n">
        <v>5</v>
      </c>
      <c r="B18" s="8" t="n">
        <v>2</v>
      </c>
      <c r="C18" s="18" t="inlineStr">
        <is>
          <t>제 학번은 2021320123이에요. 금융공학 융합전공 졸업요건 알려주세요</t>
        </is>
      </c>
      <c r="D18" s="18" t="inlineStr">
        <is>
          <t>입력에서 학번을 발견해 가렸습니다. 이 시스템은 학수번호와 학년·학기만 있으면 동작하므로 개인정보를 적지 않으셔도 됩니다.
금융공학 졸업요건
총 이수학점: 36학점 중 0학점 이수 (36학점 남음)
규정: 전공필수 구분 없음 (전공선택으로 이수)
융합전공 졸업요건 미충족
금융공학 전공은 총 36학점 이수해야 합니다. 현재 0학점을 이수한 상태이므로 36학점이 더 필요합니다. 전공필수과목은 없고 전공선택으로 이수할 수 있어요. 수강 계획이나 커리큘럼 자세히 살펴보시고, 추가로 도움이 필요하시면 말씀해주세요!</t>
        </is>
      </c>
      <c r="E18" s="18" t="inlineStr">
        <is>
          <t>졸업요건 확인 (성공)</t>
        </is>
      </c>
      <c r="F18" s="22" t="n">
        <v>10.64</v>
      </c>
    </row>
    <row r="19" ht="165.5" customHeight="1" s="14">
      <c r="A19" s="3" t="n">
        <v>5</v>
      </c>
      <c r="B19" s="4" t="n">
        <v>3</v>
      </c>
      <c r="C19" s="15" t="inlineStr">
        <is>
          <t>제 학번은 2021320123이에요. 금융공학 융합전공 졸업요건 알려주세요</t>
        </is>
      </c>
      <c r="D19" s="15" t="inlineStr">
        <is>
          <t>입력에서 학번을 발견해 가렸습니다. 이 시스템은 학수번호와 학년·학기만 있으면 동작하므로 개인정보를 적지 않으셔도 됩니다.
금융공학 졸업요건
총 이수학점: 36학점 중 0학점 이수 (36학점 남음)
규정: 전공필수 구분 없음 (전공선택으로 이수)
융합전공 졸업요건 미충족
금융공학 전공은 총 36학점을 이수해야 합니다. 현재 0학점 이수 중으로 졸업요건을 만족하지 못했어요. 이미 수강한 과목이 있나요? 아니면 특정 과목의 이수 여부를 확인하거나, 수강 계획을 수립해볼까요?</t>
        </is>
      </c>
      <c r="E19" s="15" t="inlineStr">
        <is>
          <t>졸업요건 확인 (성공)</t>
        </is>
      </c>
      <c r="F19" s="21" t="n">
        <v>8.77</v>
      </c>
    </row>
    <row r="20" ht="78.5" customHeight="1" s="14">
      <c r="A20" s="7" t="n">
        <v>6</v>
      </c>
      <c r="B20" s="8" t="n">
        <v>1</v>
      </c>
      <c r="C20" s="18" t="inlineStr">
        <is>
          <t>컴퓨터학과 이중전공 하려면 뭐 들어야 해요?</t>
        </is>
      </c>
      <c r="D20" s="18" t="inlineStr">
        <is>
          <t>이 서비스는 고려대 서울캠퍼스 융합전공만 다룹니다. 주전공·이중전공·부전공 교육과정은 포함하고 있지 않으니 소속 학과나 학사 공지에서 확인해 주세요.
관심 분야나 진로를 알려주시면 맞는 융합전공을 찾아드릴게요. (예: 데이터 분석에 관심 있어요)</t>
        </is>
      </c>
      <c r="E20" s="18" t="inlineStr">
        <is>
          <t>기능 호출 없음 (일반 대화)</t>
        </is>
      </c>
      <c r="F20" s="22" t="n">
        <v>0.06</v>
      </c>
    </row>
    <row r="21" ht="78.5" customHeight="1" s="14">
      <c r="A21" s="3" t="n">
        <v>6</v>
      </c>
      <c r="B21" s="4" t="n">
        <v>2</v>
      </c>
      <c r="C21" s="15" t="inlineStr">
        <is>
          <t>컴퓨터학과 이중전공 하려면 뭐 들어야 해요?</t>
        </is>
      </c>
      <c r="D21" s="15" t="inlineStr">
        <is>
          <t>이 서비스는 고려대 서울캠퍼스 융합전공만 다룹니다. 주전공·이중전공·부전공 교육과정은 포함하고 있지 않으니 소속 학과나 학사 공지에서 확인해 주세요.
관심 분야나 진로를 알려주시면 맞는 융합전공을 찾아드릴게요. (예: 데이터 분석에 관심 있어요)</t>
        </is>
      </c>
      <c r="E21" s="15" t="inlineStr">
        <is>
          <t>기능 호출 없음 (일반 대화)</t>
        </is>
      </c>
      <c r="F21" s="21" t="n">
        <v>0.06</v>
      </c>
    </row>
    <row r="22" ht="78.5" customHeight="1" s="14">
      <c r="A22" s="7" t="n">
        <v>6</v>
      </c>
      <c r="B22" s="8" t="n">
        <v>3</v>
      </c>
      <c r="C22" s="18" t="inlineStr">
        <is>
          <t>컴퓨터학과 이중전공 하려면 뭐 들어야 해요?</t>
        </is>
      </c>
      <c r="D22" s="18" t="inlineStr">
        <is>
          <t>이 서비스는 고려대 서울캠퍼스 융합전공만 다룹니다. 주전공·이중전공·부전공 교육과정은 포함하고 있지 않으니 소속 학과나 학사 공지에서 확인해 주세요.
관심 분야나 진로를 알려주시면 맞는 융합전공을 찾아드릴게요. (예: 데이터 분석에 관심 있어요)</t>
        </is>
      </c>
      <c r="E22" s="18" t="inlineStr">
        <is>
          <t>기능 호출 없음 (일반 대화)</t>
        </is>
      </c>
      <c r="F22" s="22" t="n">
        <v>0.07000000000000001</v>
      </c>
    </row>
    <row r="23" ht="165.5" customHeight="1" s="14">
      <c r="A23" s="3" t="inlineStr">
        <is>
          <t>7-1</t>
        </is>
      </c>
      <c r="B23" s="4" t="n">
        <v>1</v>
      </c>
      <c r="C23" s="15" t="inlineStr">
        <is>
          <t>경영학과 학생인데 창업에 관심이 있어요. 어떤 융합전공이 좋을까요?</t>
        </is>
      </c>
      <c r="D23" s="15" t="inlineStr">
        <is>
          <t>추천 융합전공
1. 기술창업 · 크림슨창업지원단 (상대 점수 1.00)
2. 소프트웨어기술벤쳐 · 정보대학 컴퓨터학과 (상대 점수 0.69)
3. 정보보호 · 정보대학 컴퓨터학과 (상대 점수 0.62)
4. 인문사회디지털콘텐츠 · 인문사회 디지털융합 인재양성사업단 (상대 점수 0.61)
5. 개인정보보호 · 스마트보안학부 (상대 점수 0.34)
(상대 점수는 후보 전공끼리 비교한 값으로 1위가 1.00)
기술창업 전공이 가장 적합해요! 창업에 대한 직접적인 키워드 매칭도 높고, 크림슨창업지원단에서 운영하는 전공입니다. 다음으로는 소프트웨어기술벤쳐, 정보보호, 인문사회디지털콘텐츠 등이 후보에요. 관심 있는 전공의 교과목이나 졸업요건을 더 알고 싶으면 말씀해주세요!</t>
        </is>
      </c>
      <c r="E23" s="15" t="inlineStr">
        <is>
          <t>전공 추천 (성공)</t>
        </is>
      </c>
      <c r="F23" s="21" t="n">
        <v>9.02</v>
      </c>
    </row>
    <row r="24" ht="252.5" customHeight="1" s="14">
      <c r="A24" s="7" t="inlineStr">
        <is>
          <t>7-2</t>
        </is>
      </c>
      <c r="B24" s="8" t="n">
        <v>1</v>
      </c>
      <c r="C24" s="18" t="inlineStr">
        <is>
          <t>그럼 첫 번째로 추천해 준 전공 로드맵 짜 주세요. 한 학기에 12학점까지만 들을 수 있어요</t>
        </is>
      </c>
      <c r="D24" s="18" t="inlineStr">
        <is>
          <t>기술창업 수강 로드맵
3학년 1학기 (12학점): 스타트업CampusCEO2.0(Ⅰ)(SPGE220), 창업현장실습Ⅰ(TEEN311), 창업활동실습Ⅰ(TEEN313), 혁신성장창업트렌드(TEEN303)
3학년 2학기 (12학점): 스타트업CampusCEO2.0(Ⅱ)(SPGE221), 기술창업전략(TEEN306), 창업현장실습Ⅱ(TEEN312)
4학년 1학기 (12학점): 창업활동실습Ⅱ(TEEN314), 창업가의마인드셋(BUSS165), 건축시스템의이해(ACEE123)
총 36학점 / 3학기 (융합전공 졸업요건 36학점)
선수과목 순서 위배: 0건
(졸업요건을 채워 나머지 34과목은 제외)
3학년 1학기부터 4학년 1학기까지 36학점이 필요한 기술창업 전공 로드맵을 짰어요. 3학년 1학기: 스타트업CampusCEO2.0, 창업현장실습Ⅰ, 창업활동실습Ⅰ, 혁신성장창업트렌드 3학년 2학기: 스타트업CampusCEO2.0, 기술창업전략, 창업현장실습Ⅱ 4학년 1학기: 창업활동실습Ⅱ, 창업가의마인드셋, 건축시스템의이해 34개 과목은 졸업요건 외 선택과목으로, 관심 분야에 맞춰 추가 수강 가능합니다. 다음 학기 수강 순서 조정이나 특정 과목 추가에 대해 더 알려주세요!</t>
        </is>
      </c>
      <c r="E24" s="18" t="inlineStr">
        <is>
          <t>로드맵 생성 (성공)</t>
        </is>
      </c>
      <c r="F24" s="22" t="n">
        <v>13.7</v>
      </c>
    </row>
    <row r="25" ht="180" customHeight="1" s="14">
      <c r="A25" s="3" t="inlineStr">
        <is>
          <t>7-1</t>
        </is>
      </c>
      <c r="B25" s="4" t="n">
        <v>2</v>
      </c>
      <c r="C25" s="15" t="inlineStr">
        <is>
          <t>경영학과 학생인데 창업에 관심이 있어요. 어떤 융합전공이 좋을까요?</t>
        </is>
      </c>
      <c r="D25" s="15" t="inlineStr">
        <is>
          <t>추천 융합전공
1. 기술창업 · 크림슨창업지원단 (상대 점수 1.00)
2. 소프트웨어기술벤쳐 · 정보대학 컴퓨터학과 (상대 점수 0.69)
3. 정보보호 · 정보대학 컴퓨터학과 (상대 점수 0.62)
4. 인문사회디지털콘텐츠 · 인문사회 디지털융합 인재양성사업단 (상대 점수 0.61)
5. 개인정보보호 · 스마트보안학부 (상대 점수 0.34)
(상대 점수는 후보 전공끼리 비교한 값으로 1위가 1.00)
기술창업 융합전공이 가장 잘 맞아요! 창업에 대한 직접적인 연관성이 있죠. 소프트웨어기술벤처, 정보보호 등도 관련성이 있지만, 먼저 기술창업에 대해 더 자세히 알아보시는 건 어때요? 원하시면 해당 전공의 교과목이나 졸업요건, 수강 순서 등 구체적인 정보도 도와드릴게요!</t>
        </is>
      </c>
      <c r="E25" s="15" t="inlineStr">
        <is>
          <t>전공 추천 (성공)</t>
        </is>
      </c>
      <c r="F25" s="21" t="n">
        <v>9.77</v>
      </c>
    </row>
    <row r="26" ht="252.5" customHeight="1" s="14">
      <c r="A26" s="7" t="inlineStr">
        <is>
          <t>7-2</t>
        </is>
      </c>
      <c r="B26" s="8" t="n">
        <v>2</v>
      </c>
      <c r="C26" s="18" t="inlineStr">
        <is>
          <t>그럼 첫 번째로 추천해 준 전공 로드맵 짜 주세요. 한 학기에 12학점까지만 들을 수 있어요</t>
        </is>
      </c>
      <c r="D26" s="18" t="inlineStr">
        <is>
          <t>기술창업 수강 로드맵
3학년 1학기 (12학점): 스타트업CampusCEO2.0(Ⅰ)(SPGE220), 창업현장실습Ⅰ(TEEN311), 창업활동실습Ⅰ(TEEN313), 혁신성장창업트렌드(TEEN303)
3학년 2학기 (12학점): 스타트업CampusCEO2.0(Ⅱ)(SPGE221), 기술창업전략(TEEN306), 창업현장실습Ⅱ(TEEN312)
4학년 1학기 (12학점): 창업활동실습Ⅱ(TEEN314), 창업가의마인드셋(BUSS165), 건축시스템의이해(ACEE123)
총 36학점 / 3학기 (융합전공 졸업요건 36학점)
선수과목 순서 위배: 0건
(졸업요건을 채워 나머지 34과목은 제외)
3학년 1학기: 스타트업 CampusCEO2.0(Ⅰ), 창업현장실습Ⅰ, 창업활동실습Ⅰ, 혁신성장창업트렌드 3학년 2학기: 스타트업 CampusCEO2.0(Ⅱ), 기술창업전략, 창업현장실습Ⅱ 4학년 1학기: 창업활동실습Ⅱ, 창업가의마인드셋, 건축시스템의이해 12학점씩 나눠 수강 가능하며, 36학점 졸업요건을 만족합니다. 참고로 '건축시스템의이해'는 전공과 관련성이 낮은 과목이라, 관심 있는 다른 전공과목을 추가하는 게 좋습니다. 구체적인 수강 순서나 추가 과목 문의해 주세요!</t>
        </is>
      </c>
      <c r="E26" s="18" t="inlineStr">
        <is>
          <t>로드맵 생성 (성공)</t>
        </is>
      </c>
      <c r="F26" s="22" t="n">
        <v>13.98</v>
      </c>
    </row>
    <row r="27" ht="180" customHeight="1" s="14">
      <c r="A27" s="3" t="inlineStr">
        <is>
          <t>7-1</t>
        </is>
      </c>
      <c r="B27" s="4" t="n">
        <v>3</v>
      </c>
      <c r="C27" s="15" t="inlineStr">
        <is>
          <t>경영학과 학생인데 창업에 관심이 있어요. 어떤 융합전공이 좋을까요?</t>
        </is>
      </c>
      <c r="D27" s="15" t="inlineStr">
        <is>
          <t>추천 융합전공
1. 기술창업 · 크림슨창업지원단 (상대 점수 1.00)
2. 소프트웨어기술벤쳐 · 정보대학 컴퓨터학과 (상대 점수 0.69)
3. 정보보호 · 정보대학 컴퓨터학과 (상대 점수 0.62)
4. 인문사회디지털콘텐츠 · 인문사회 디지털융합 인재양성사업단 (상대 점수 0.61)
5. 개인정보보호 · 스마트보안학부 (상대 점수 0.34)
(상대 점수는 후보 전공끼리 비교한 값으로 1위가 1.00)
기술창업 전공이 가장 적합해요! 창업 관련 교과목과 실무 프로젝트를 통해 기술 기반 창업 역량을 키울 수 있어요. 추가로 소프트웨어기술벤처, 정보보호, 인문사회디지털콘텐츠 등도 창업에 연관된 분야입니다. 구체적인 교과목이나 졸업요건을 확인하시려면 전공명을 말씀해주세요!</t>
        </is>
      </c>
      <c r="E27" s="15" t="inlineStr">
        <is>
          <t>전공 추천 (성공)</t>
        </is>
      </c>
      <c r="F27" s="21" t="n">
        <v>8.07</v>
      </c>
    </row>
    <row r="28" ht="267" customHeight="1" s="14">
      <c r="A28" s="7" t="inlineStr">
        <is>
          <t>7-2</t>
        </is>
      </c>
      <c r="B28" s="8" t="n">
        <v>3</v>
      </c>
      <c r="C28" s="18" t="inlineStr">
        <is>
          <t>그럼 첫 번째로 추천해 준 전공 로드맵 짜 주세요. 한 학기에 12학점까지만 들을 수 있어요</t>
        </is>
      </c>
      <c r="D28" s="18" t="inlineStr">
        <is>
          <t>기술창업 수강 로드맵
3학년 1학기 (12학점): 스타트업CampusCEO2.0(Ⅰ)(SPGE220), 창업현장실습Ⅰ(TEEN311), 창업활동실습Ⅰ(TEEN313), 혁신성장창업트렌드(TEEN303)
3학년 2학기 (12학점): 스타트업CampusCEO2.0(Ⅱ)(SPGE221), 기술창업전략(TEEN306), 창업현장실습Ⅱ(TEEN312)
4학년 1학기 (12학점): 창업활동실습Ⅱ(TEEN314), 창업가의마인드셋(BUSS165), 건축시스템의이해(ACEE123)
총 36학점 / 3학기 (융합전공 졸업요건 36학점)
선수과목 순서 위배: 0건
(졸업요건을 채워 나머지 34과목은 제외)
3학년 1학기: 스타트업CampusCEO2.0(Ⅰ)(SPGE220), 창업현장실습Ⅰ(TEEN311), 창업활동실습Ⅰ(TEEN313), 혁신성장창업트렌드(TEEN303) — 12학점 3학년 2학기: 스타트업CampusCEO2.0(Ⅱ)(SPGE221), 기술창업전략(TEEN306), 창업현장실습Ⅱ(TEEN312) — 12학점 4학년 1학기: 창업활동실습Ⅱ(TEEN314), 창업가의마인드셋(BUSS165), 건축시스템의이해(ACEE123) — 12학점 총 36학점 이수(현재 0학점) ※ 34개 과목은 졸업 요건 외 과목으로 이수하지 않아 로드맵에 포함되지 않았습니다. 관심 있는 과목은 추가 수강 가능합니다. 다음 학기부터 수강할 과목이 있거나, 특정 과목을 추가하고 싶으신다면 알려주세요!</t>
        </is>
      </c>
      <c r="E28" s="18" t="inlineStr">
        <is>
          <t>로드맵 생성 (성공)</t>
        </is>
      </c>
      <c r="F28" s="22" t="n">
        <v>14.25</v>
      </c>
    </row>
    <row r="29" ht="78.5" customHeight="1" s="14">
      <c r="A29" s="3" t="n">
        <v>8</v>
      </c>
      <c r="B29" s="4" t="n">
        <v>1</v>
      </c>
      <c r="C29" s="15" t="inlineStr">
        <is>
          <t>COSE213 강의계획서에서 평가 방식이랑 주차별 수업 내용 알려 주세요</t>
        </is>
      </c>
      <c r="D29" s="15" t="inlineStr">
        <is>
          <t>강의계획서를 조회할 수 없습니다.
강의계획서 조회는 현재 오프라인 모드에서는 지원되지 않습니다. 교내망을 통해 확인하고자 하신다면, 고려대학교 교내망을 사용해 주세요. 관련 문의는 해당 강의 개설 학과에 드릴 수 있습니다. 다른 궁금사항 있으신가요?</t>
        </is>
      </c>
      <c r="E29" s="15" t="inlineStr">
        <is>
          <t>강의계획서 조회 (실패)</t>
        </is>
      </c>
      <c r="F29" s="21" t="n">
        <v>6.79</v>
      </c>
    </row>
    <row r="30" ht="78.5" customHeight="1" s="14">
      <c r="A30" s="7" t="n">
        <v>8</v>
      </c>
      <c r="B30" s="8" t="n">
        <v>2</v>
      </c>
      <c r="C30" s="18" t="inlineStr">
        <is>
          <t>COSE213 강의계획서에서 평가 방식이랑 주차별 수업 내용 알려 주세요</t>
        </is>
      </c>
      <c r="D30" s="18" t="inlineStr">
        <is>
          <t>강의계획서를 조회할 수 없습니다.
강의계획서 조회는 오프라인 모드에서는 제한됩니다. 교내망을 통해 확인해 보시거나, 수강 중이신 분은 담당 교수님께 문의해 보세요. 다른 궁금하신 점이 있으시면 언제든지 알려주세요!</t>
        </is>
      </c>
      <c r="E30" s="18" t="inlineStr">
        <is>
          <t>강의계획서 조회 (실패)</t>
        </is>
      </c>
      <c r="F30" s="22" t="n">
        <v>7.84</v>
      </c>
    </row>
    <row r="31" ht="78.5" customHeight="1" s="14">
      <c r="A31" s="3" t="n">
        <v>8</v>
      </c>
      <c r="B31" s="4" t="n">
        <v>3</v>
      </c>
      <c r="C31" s="15" t="inlineStr">
        <is>
          <t>COSE213 강의계획서에서 평가 방식이랑 주차별 수업 내용 알려 주세요</t>
        </is>
      </c>
      <c r="D31" s="15" t="inlineStr">
        <is>
          <t>강의계획서를 조회할 수 없습니다.
교내망에서만 강의계획서를 확인할 수 있습니다. 현재 오프라인 모드이므로, 교수님께 직접 문의하거나 고려대학교 학사정보시스템에서 확인해 보세요. 강의계획서 내용을 추측해 드리지는 않겠습니다.</t>
        </is>
      </c>
      <c r="E31" s="15" t="inlineStr">
        <is>
          <t>강의계획서 조회 (실패)</t>
        </is>
      </c>
      <c r="F31" s="21" t="n">
        <v>6.49</v>
      </c>
    </row>
    <row r="32" ht="35" customHeight="1" s="14">
      <c r="A32" s="7" t="n">
        <v>9</v>
      </c>
      <c r="B32" s="8" t="n">
        <v>1</v>
      </c>
      <c r="C32" s="18" t="inlineStr">
        <is>
          <t>융합전공 신청 기간이 언제예요?</t>
        </is>
      </c>
      <c r="D32" s="18" t="inlineStr">
        <is>
          <t>융합전공 신청 기간은 학과 및 관련 학사 규정에 따라 다를 수 있으며, 이에 대한 안내는 고려대학교 홈페이지 또는 관련 학과사무실에서 확인하시기 바랍니다.</t>
        </is>
      </c>
      <c r="E32" s="18" t="inlineStr">
        <is>
          <t>기능 호출 없음 (일반 대화)</t>
        </is>
      </c>
      <c r="F32" s="22" t="n">
        <v>2.58</v>
      </c>
    </row>
    <row r="33" ht="35" customHeight="1" s="14">
      <c r="A33" s="3" t="n">
        <v>9</v>
      </c>
      <c r="B33" s="4" t="n">
        <v>2</v>
      </c>
      <c r="C33" s="15" t="inlineStr">
        <is>
          <t>융합전공 신청 기간이 언제예요?</t>
        </is>
      </c>
      <c r="D33" s="15" t="inlineStr">
        <is>
          <t>융합전공 신청 기간은 각 학과의 행정정보에 따라 다를 수 있습니다. 이 서비스에서는 교육과정 관련 정보만 제공합니다. 관련 학과나 학사 공지에서 확인하시기 바랍니다.</t>
        </is>
      </c>
      <c r="E33" s="15" t="inlineStr">
        <is>
          <t>기능 호출 없음 (일반 대화)</t>
        </is>
      </c>
      <c r="F33" s="21" t="n">
        <v>2.39</v>
      </c>
    </row>
    <row r="34" ht="35" customHeight="1" s="14">
      <c r="A34" s="7" t="n">
        <v>9</v>
      </c>
      <c r="B34" s="8" t="n">
        <v>3</v>
      </c>
      <c r="C34" s="18" t="inlineStr">
        <is>
          <t>융합전공 신청 기간이 언제예요?</t>
        </is>
      </c>
      <c r="D34" s="18" t="inlineStr">
        <is>
          <t>융합전공 신청 기간이나 신청 절차는 학과사무실이나 대학 공고에서 확인하세요. 해당 전공의 센터 또는 관련 학과에 문의하시면 정확한 정보를 얻을 수 있습니다.</t>
        </is>
      </c>
      <c r="E34" s="18" t="inlineStr">
        <is>
          <t>기능 호출 없음 (일반 대화)</t>
        </is>
      </c>
      <c r="F34" s="22" t="n">
        <v>3.1</v>
      </c>
    </row>
    <row r="35" ht="64" customHeight="1" s="14">
      <c r="A35" s="3" t="n">
        <v>10</v>
      </c>
      <c r="B35" s="4" t="n">
        <v>1</v>
      </c>
      <c r="C35" s="15" t="inlineStr">
        <is>
          <t>안녕하세요, 여기서 뭘 물어볼 수 있어요?</t>
        </is>
      </c>
      <c r="D35" s="15" t="inlineStr">
        <is>
          <t>안녕하세요! 융합전공 관련 궁금한 점이 있다면 아래 네 가지로 문의해 주세요: 1. 관심 분야에 맞는 전공 추천 (예: "AI에 관심 있는데 어떤 전공이 있나요?") 2. 전공의 교과목 또는 커리큘럼 확인 3. 졸업요건 충족 여부 및 학점 확인 4. 수강 로드맵 작성 및 순서 안내 행정 사항(신청 기간 등)은 학과나 학사 공지에서 확인해 주세요!</t>
        </is>
      </c>
      <c r="E35" s="15" t="inlineStr">
        <is>
          <t>기능 호출 없음 (일반 대화)</t>
        </is>
      </c>
      <c r="F35" s="21" t="n">
        <v>3.39</v>
      </c>
    </row>
    <row r="36" ht="49.5" customHeight="1" s="14">
      <c r="A36" s="7" t="n">
        <v>10</v>
      </c>
      <c r="B36" s="8" t="n">
        <v>2</v>
      </c>
      <c r="C36" s="18" t="inlineStr">
        <is>
          <t>안녕하세요, 여기서 뭘 물어볼 수 있어요?</t>
        </is>
      </c>
      <c r="D36" s="18" t="inlineStr">
        <is>
          <t>안녕하세요! 관심 분야나 진로를 말씀해 주면 융합전공 추천, 교과목 조회, 졘업요건 확인, 수강 계획 마련 등 도와드릴 수 있어요. 예를 들어 "인공지능응용 전공에 대해 알려주세요"처럼 문의해 주세요!</t>
        </is>
      </c>
      <c r="E36" s="18" t="inlineStr">
        <is>
          <t>기능 호출 없음 (일반 대화)</t>
        </is>
      </c>
      <c r="F36" s="22" t="n">
        <v>2.55</v>
      </c>
    </row>
    <row r="37" ht="49.5" customHeight="1" s="14">
      <c r="A37" s="3" t="n">
        <v>10</v>
      </c>
      <c r="B37" s="4" t="n">
        <v>3</v>
      </c>
      <c r="C37" s="15" t="inlineStr">
        <is>
          <t>안녕하세요, 여기서 뭘 물어볼 수 있어요?</t>
        </is>
      </c>
      <c r="D37" s="15" t="inlineStr">
        <is>
          <t>안녕하세요! 융합전공 관련 전공 추천, 교과목 확인, 졸업요건 검토, 수강 로드맵 생성 등을 도와드려요. 예를 들어 "자율주행차 관련 전공 추천해주세요"처럼 관심 분야를 말씀해 주면 맞춤형으로 안내드려요!</t>
        </is>
      </c>
      <c r="E37" s="15" t="inlineStr">
        <is>
          <t>기능 호출 없음 (일반 대화)</t>
        </is>
      </c>
      <c r="F37" s="21" t="n">
        <v>2.54</v>
      </c>
    </row>
  </sheetData>
  <mergeCells count="2">
    <mergeCell ref="A2:F2"/>
    <mergeCell ref="A1:F1"/>
  </mergeCell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E14"/>
  <sheetViews>
    <sheetView showGridLines="0" tabSelected="1" workbookViewId="0">
      <pane xSplit="2" ySplit="4" topLeftCell="C5" activePane="bottomRight" state="frozen"/>
      <selection pane="topRight" activeCell="A1" sqref="A1"/>
      <selection pane="bottomLeft" activeCell="A1" sqref="A1"/>
      <selection pane="bottomRight" activeCell="C12" sqref="C12"/>
    </sheetView>
  </sheetViews>
  <sheetFormatPr baseColWidth="10" defaultColWidth="8.83203125" defaultRowHeight="17"/>
  <cols>
    <col width="7" customWidth="1" style="14" min="1" max="1"/>
    <col width="24" customWidth="1" style="14" min="2" max="2"/>
    <col width="36" customWidth="1" style="14" min="3" max="3"/>
    <col width="90" customWidth="1" style="14" min="4" max="4"/>
    <col width="10" customWidth="1" style="14" min="5" max="5"/>
  </cols>
  <sheetData>
    <row r="1" ht="30" customHeight="1" s="14">
      <c r="A1" s="13" t="inlineStr">
        <is>
          <t>전공 추천 · 입력 10개와 실제 응답</t>
        </is>
      </c>
    </row>
    <row r="2" ht="34" customHeight="1" s="14">
      <c r="A2" s="20" t="n"/>
    </row>
    <row r="4" ht="22" customHeight="1" s="14">
      <c r="A4" s="19" t="inlineStr">
        <is>
          <t>번호</t>
        </is>
      </c>
      <c r="B4" s="19" t="inlineStr">
        <is>
          <t>사용자 상황</t>
        </is>
      </c>
      <c r="C4" s="19" t="inlineStr">
        <is>
          <t>실제 입력</t>
        </is>
      </c>
      <c r="D4" s="19" t="inlineStr">
        <is>
          <t>실제 응답</t>
        </is>
      </c>
      <c r="E4" s="19" t="inlineStr">
        <is>
          <t>응답 시간(초)</t>
        </is>
      </c>
    </row>
    <row r="5" ht="107.5" customHeight="1" s="14">
      <c r="A5" s="3" t="n">
        <v>1</v>
      </c>
      <c r="B5" s="15" t="inlineStr">
        <is>
          <t>경제학과 2학년, 진로 탐색 중</t>
        </is>
      </c>
      <c r="C5" s="15" t="inlineStr">
        <is>
          <t>경제학과 2학년인데 데이터로 주식 시장을 분석해 보고 싶어요</t>
        </is>
      </c>
      <c r="D5" s="15" t="inlineStr">
        <is>
          <t>1. 금융공학 · 정경대학 경제학과 (상대 점수 1.00) (지원조건: 서울캠퍼스 소속 학생만 지원 가능)
2. PEP · 정경대학 경제학과 (상대 점수 0.72)
3. 공직과사회규범 · 정경대학 행정학과 (상대 점수 0.69)
4. 기후변화 · 생명과학대학 환경생태공학부 (상대 점수 0.66)
5. 개인정보보호 · 스마트보안학부 (상대 점수 0.64)
(상대 점수는 후보 전공끼리 비교한 값으로 1위가 1.00)</t>
        </is>
      </c>
      <c r="E5" s="21" t="n">
        <v>6.11</v>
      </c>
    </row>
    <row r="6" ht="122" customHeight="1" s="14">
      <c r="A6" s="7" t="n">
        <v>2</v>
      </c>
      <c r="B6" s="18" t="inlineStr">
        <is>
          <t>국어국문학과 3학년</t>
        </is>
      </c>
      <c r="C6" s="18" t="inlineStr">
        <is>
          <t>외국인 유학생들한테 한국어를 가르치는 일을 하고 싶어요</t>
        </is>
      </c>
      <c r="D6" s="18" t="inlineStr">
        <is>
          <t>1. GKS (Global Korean Studies) · 국제대학 (상대 점수 1.00) (지원조건: 외국인 학생에 한하여 지원 가능)
2. 다문화한국어교육 · 사범대학 국어교육과 (상대 점수 0.94)
3. LB&amp;C (Language, Brain &amp; Computer) · 문과대학 (상대 점수 0.76)
4. 통일과국제평화 · 문과대학 (상대 점수 0.63)
5. 인문학과정의 · 문과대학 (상대 점수 0.62)
(상대 점수는 후보 전공끼리 비교한 값으로 1위가 1.00)</t>
        </is>
      </c>
      <c r="E6" s="22" t="n">
        <v>0.11</v>
      </c>
    </row>
    <row r="7" ht="122" customHeight="1" s="14">
      <c r="A7" s="3" t="n">
        <v>3</v>
      </c>
      <c r="B7" s="15" t="inlineStr">
        <is>
          <t>생명과학부 2학년</t>
        </is>
      </c>
      <c r="C7" s="15" t="inlineStr">
        <is>
          <t>미생물로 신약이나 바이오 소재를 만드는 연구에 관심 있어요</t>
        </is>
      </c>
      <c r="D7" s="15" t="inlineStr">
        <is>
          <t>1. 미생물융합기술 · 생명과학대학 환경생태공학부 (상대 점수 1.00) — '바이오' 관련
2. 메디컬융합공학 · KU-KIST융합대학원 (상대 점수 0.60) — '바이오' 관련
3. 에코스마트시티 · 에코업 혁신융합대학 (상대 점수 0.45) (지원조건: 서울캠퍼스 소속 학생만 지원 가능)
4. 기술‧가정교육 · 사범대학 가정교육과 (상대 점수 0.42)
5. 뇌인지과학 · 정보대학 컴퓨터학과 (상대 점수 0.39)
(상대 점수는 후보 전공끼리 비교한 값으로 1위가 1.00)</t>
        </is>
      </c>
      <c r="E7" s="21" t="n">
        <v>0.11</v>
      </c>
    </row>
    <row r="8" ht="122" customHeight="1" s="14">
      <c r="A8" s="7" t="n">
        <v>4</v>
      </c>
      <c r="B8" s="18" t="inlineStr">
        <is>
          <t>지구환경과학과 2학년</t>
        </is>
      </c>
      <c r="C8" s="18" t="inlineStr">
        <is>
          <t>기후 위기 대응이나 탄소중립 정책 쪽으로 진로를 생각하고 있어요</t>
        </is>
      </c>
      <c r="D8" s="18" t="inlineStr">
        <is>
          <t>1. 기후변화 · 생명과학대학 환경생태공학부 (상대 점수 1.00) — '기후, 정책' 관련
2. 에코스마트시티 · 에코업 혁신융합대학 (상대 점수 0.77) — '기후, 정책' 관련 (지원조건: 서울캠퍼스 소속 학생만 지원 가능)
3. 에너지신산업 · 에너지신산업 혁신융합대학 (상대 점수 0.65) — '기후, 정책' 관련
4. 생태조경 · 생명과학대학 환경생태공학부 (상대 점수 0.61) — '기후, 정책' 관련
5. 미생물융합기술 · 생명과학대학 환경생태공학부 (상대 점수 0.39)
(상대 점수는 후보 전공끼리 비교한 값으로 1위가 1.00)</t>
        </is>
      </c>
      <c r="E8" s="22" t="n">
        <v>0.12</v>
      </c>
    </row>
    <row r="9" ht="122" customHeight="1" s="14">
      <c r="A9" s="3" t="n">
        <v>5</v>
      </c>
      <c r="B9" s="15" t="inlineStr">
        <is>
          <t>관심사 두 개와 조건을 함께 적는 학생</t>
        </is>
      </c>
      <c r="C9" s="15" t="inlineStr">
        <is>
          <t>패션 브랜드 마케팅과 데이터 분석에 둘 다 관심 있어요. 코딩 경험이 없어도 시작할 만한 융합전공을 찾고 있어요.</t>
        </is>
      </c>
      <c r="D9" s="15" t="inlineStr">
        <is>
          <t>1. 패션디자인및머천다이징 · 사범대학 가정교육과 (상대 점수 1.00) — '패션, 브랜드' 관련
2. 소프트웨어기술벤쳐 · 정보대학 컴퓨터학과 (상대 점수 0.60) — '데이터' 관련
3. 개인정보보호 · 스마트보안학부 (상대 점수 0.51) — '데이터, 코딩' 관련
4. 정보보호 · 정보대학 컴퓨터학과 (상대 점수 0.49) — '데이터, 코딩' 관련
5. 인문사회디지털콘텐츠 · 인문사회 디지털융합 인재양성사업단 (상대 점수 0.48) — '데이터' 관련
(상대 점수는 후보 전공끼리 비교한 값으로 1위가 1.00)</t>
        </is>
      </c>
      <c r="E9" s="21" t="n">
        <v>0.11</v>
      </c>
    </row>
    <row r="10" ht="107.5" customHeight="1" s="14">
      <c r="A10" s="7" t="n">
        <v>6</v>
      </c>
      <c r="B10" s="18" t="inlineStr">
        <is>
          <t>언어학과 3학년</t>
        </is>
      </c>
      <c r="C10" s="18" t="inlineStr">
        <is>
          <t>사람 뇌가 언어를 어떻게 처리하는지 궁금해요</t>
        </is>
      </c>
      <c r="D10" s="18" t="inlineStr">
        <is>
          <t>1. LB&amp;C (Language, Brain &amp; Computer) · 문과대학 (상대 점수 1.00)
2. 뇌인지과학 · 정보대학 컴퓨터학과 (상대 점수 0.98)
3. 인공지능응용 · 정보대학 컴퓨터학과 (상대 점수 0.74)
4. 인문학과정의 · 문과대학 (상대 점수 0.57)
5. 의료인문학 · 문과대학 (상대 점수 0.56)
(상대 점수는 후보 전공끼리 비교한 값으로 1위가 1.00)</t>
        </is>
      </c>
      <c r="E10" s="22" t="n">
        <v>0.06</v>
      </c>
    </row>
    <row r="11" ht="136.5" customHeight="1" s="14">
      <c r="A11" s="3" t="n">
        <v>7</v>
      </c>
      <c r="B11" s="15" t="inlineStr">
        <is>
          <t>신소재공학부 1학년, 키워드만 입력</t>
        </is>
      </c>
      <c r="C11" s="15" t="inlineStr">
        <is>
          <t>반도체</t>
        </is>
      </c>
      <c r="D11" s="15" t="inlineStr">
        <is>
          <t>1. 차세대반도체 · 차세대AI반도체 특성화대학 사업단 (상대 점수 1.00) — '반도체' 관련 (지원조건: 신소재공학부/화공생명공학과/전기전자공학부/기계공학부/물리학과 학생만 지원 가능)
2. 메디컬융합공학 · KU-KIST융합대학원 (상대 점수 0.45) — '반도체' 관련
3. 에너지신산업 · 에너지신산업 혁신융합대학 (상대 점수 0.29)
4. 미생물융합기술 · 생명과학대학 환경생태공학부 (상대 점수 0.26)
5. 에코스마트시티 · 에코업 혁신융합대학 (상대 점수 0.22) (지원조건: 서울캠퍼스 소속 학생만 지원 가능)
(상대 점수는 후보 전공끼리 비교한 값으로 1위가 1.00)</t>
        </is>
      </c>
      <c r="E11" s="21" t="n">
        <v>0.12</v>
      </c>
    </row>
    <row r="12" ht="107.5" customHeight="1" s="14">
      <c r="A12" s="7" t="n">
        <v>8</v>
      </c>
      <c r="B12" s="18" t="inlineStr">
        <is>
          <t>영어로 입력하는 외국인 학생</t>
        </is>
      </c>
      <c r="C12" s="18" t="inlineStr">
        <is>
          <t>I want to study cybersecurity and data privacy</t>
        </is>
      </c>
      <c r="D12" s="18" t="inlineStr">
        <is>
          <t>1. 개인정보보호 · 스마트보안학부 (상대 점수 1.00)
2. 정보보호 · 정보대학 컴퓨터학과 (상대 점수 0.82)
3. 인문사회디지털콘텐츠 · 인문사회 디지털융합 인재양성사업단 (상대 점수 0.47)
4. 소프트웨어기술벤쳐 · 정보대학 컴퓨터학과 (상대 점수 0.46)
5. 뇌인지과학 · 정보대학 컴퓨터학과 (상대 점수 0.32)
(상대 점수는 후보 전공끼리 비교한 값으로 1위가 1.00)</t>
        </is>
      </c>
      <c r="E12" s="22" t="n">
        <v>0.11</v>
      </c>
    </row>
    <row r="13" ht="35" customHeight="1" s="14">
      <c r="A13" s="3" t="n">
        <v>9</v>
      </c>
      <c r="B13" s="15" t="inlineStr">
        <is>
          <t>아직 관심사가 없는 1학년</t>
        </is>
      </c>
      <c r="C13" s="15" t="inlineStr">
        <is>
          <t>아직 뭘 좋아하는지 잘 모르겠어요</t>
        </is>
      </c>
      <c r="D13" s="15" t="inlineStr">
        <is>
          <t>입력하신 내용으로는 적합한 전공을 찾기 어렵습니다. 관심 분야를 조금 더 구체적으로 알려주세요. (예: 인공지능, 금융, 보안, 환경, 한국어교육)</t>
        </is>
      </c>
      <c r="E13" s="21" t="n">
        <v>0.11</v>
      </c>
    </row>
    <row r="14" ht="122" customHeight="1" s="14">
      <c r="A14" s="7" t="n">
        <v>10</v>
      </c>
      <c r="B14" s="18" t="inlineStr">
        <is>
          <t>오타를 섞어 입력하는 학생 (S4와 비교)</t>
        </is>
      </c>
      <c r="C14" s="18" t="inlineStr">
        <is>
          <t>기후변화랑 탄소중립 정첵에 관심잇어요</t>
        </is>
      </c>
      <c r="D14" s="18" t="inlineStr">
        <is>
          <t>1. 기후변화 · 생명과학대학 환경생태공학부 (상대 점수 1.00)
2. 에코스마트시티 · 에코업 혁신융합대학 (상대 점수 0.79) (지원조건: 서울캠퍼스 소속 학생만 지원 가능)
3. 에너지신산업 · 에너지신산업 혁신융합대학 (상대 점수 0.70)
4. 생태조경 · 생명과학대학 환경생태공학부 (상대 점수 0.59)
5. 미생물융합기술 · 생명과학대학 환경생태공학부 (상대 점수 0.44)
(상대 점수는 후보 전공끼리 비교한 값으로 1위가 1.00)</t>
        </is>
      </c>
      <c r="E14" s="22" t="n">
        <v>0.11</v>
      </c>
    </row>
  </sheetData>
  <mergeCells count="2">
    <mergeCell ref="A2:E2"/>
    <mergeCell ref="A1:E1"/>
  </mergeCells>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G14"/>
  <sheetViews>
    <sheetView showGridLines="0" workbookViewId="0">
      <pane xSplit="2" ySplit="4" topLeftCell="C6" activePane="bottomRight" state="frozen"/>
      <selection pane="topRight" activeCell="A1" sqref="A1"/>
      <selection pane="bottomLeft" activeCell="A1" sqref="A1"/>
      <selection pane="bottomRight" activeCell="A2" sqref="A2:G2"/>
    </sheetView>
  </sheetViews>
  <sheetFormatPr baseColWidth="10" defaultColWidth="8.83203125" defaultRowHeight="17"/>
  <cols>
    <col width="7" customWidth="1" style="14" min="1" max="1"/>
    <col width="22" customWidth="1" style="14" min="2" max="2"/>
    <col width="16" customWidth="1" style="14" min="3" max="3"/>
    <col width="22" customWidth="1" style="14" min="4" max="4"/>
    <col width="12" customWidth="1" style="14" min="5" max="5"/>
    <col width="96" customWidth="1" style="14" min="6" max="6"/>
    <col width="10" customWidth="1" style="14" min="7" max="7"/>
  </cols>
  <sheetData>
    <row r="1" ht="30" customHeight="1" s="14">
      <c r="A1" s="13" t="inlineStr">
        <is>
          <t>로드맵 · 입력 10개와 실제 응답</t>
        </is>
      </c>
    </row>
    <row r="2" ht="34" customHeight="1" s="14">
      <c r="A2" s="20" t="n"/>
    </row>
    <row r="4" ht="22" customHeight="1" s="14">
      <c r="A4" s="19" t="inlineStr">
        <is>
          <t>번호</t>
        </is>
      </c>
      <c r="B4" s="19" t="inlineStr">
        <is>
          <t>사용자 상황</t>
        </is>
      </c>
      <c r="C4" s="19" t="inlineStr">
        <is>
          <t>입력 · 전공</t>
        </is>
      </c>
      <c r="D4" s="19" t="inlineStr">
        <is>
          <t>입력 · 이미 들은 과목</t>
        </is>
      </c>
      <c r="E4" s="19" t="inlineStr">
        <is>
          <t>입력 · 학기당 최대 학점</t>
        </is>
      </c>
      <c r="F4" s="19" t="inlineStr">
        <is>
          <t>실제 응답</t>
        </is>
      </c>
      <c r="G4" s="19" t="inlineStr">
        <is>
          <t>응답 시간(초)</t>
        </is>
      </c>
    </row>
    <row r="5" ht="223.5" customHeight="1" s="14">
      <c r="A5" s="3" t="n">
        <v>1</v>
      </c>
      <c r="B5" s="15" t="inlineStr">
        <is>
          <t>인공지능응용을 처음 시작하는 3학년</t>
        </is>
      </c>
      <c r="C5" s="15" t="inlineStr">
        <is>
          <t>인공지능응용</t>
        </is>
      </c>
      <c r="D5" s="15" t="inlineStr">
        <is>
          <t>(입력 없음)</t>
        </is>
      </c>
      <c r="E5" s="4" t="n">
        <v>18</v>
      </c>
      <c r="F5" s="15" t="inlineStr">
        <is>
          <t>인공지능응용
3학년 1학기: 자료구조(COSE213), 공학수학(COSE281), 시계열분석(STAT302) — 9학점
3학년 2학기: 알고리즘(COSE214), 회귀분석(STAT342), 인공지능과 윤리(AICE301) — 9학점
4학년 1학기: 인공지능(COSE361), 확률및랜덤과정(COSE382), 빅데이터분석(DATA304) — 9학점
4학년 2학기: 기계학습(COSE362), 생체신호처리(BMED311), 의학영상처리(BMED318) — 9학점
(융합전공 졸업요건을 채워 나머지 18과목은 로드맵에 넣지 않았습니다. 관심 과목은 추가로 수강 가능합니다.)
총 36학점 / 4학기 (융합전공 졸업요건 36학점)
선수과목 순서 위배: 0건 (등록된 선수관계 54개 기준)
참고
- 택1 과목이라 확률및랜덤과정(COSE382) 대신 확률및랜덤프로세스(KECE209)을(를) 들어도 됩니다.</t>
        </is>
      </c>
      <c r="G5" s="21" t="n">
        <v>0.44</v>
      </c>
    </row>
    <row r="6" ht="223.5" customHeight="1" s="14">
      <c r="A6" s="7" t="n">
        <v>2</v>
      </c>
      <c r="B6" s="18" t="inlineStr">
        <is>
          <t>학수번호 대신 과목명을 적는 학생</t>
        </is>
      </c>
      <c r="C6" s="18" t="inlineStr">
        <is>
          <t>AICE</t>
        </is>
      </c>
      <c r="D6" s="18" t="inlineStr">
        <is>
          <t>자료구조 알고리즘 인공지능</t>
        </is>
      </c>
      <c r="E6" s="8" t="n">
        <v>15</v>
      </c>
      <c r="F6" s="18" t="inlineStr">
        <is>
          <t>인공지능응용
3학년 1학기: 공학수학(COSE281), 시계열분석(STAT302), 회귀분석(STAT342), 인공지능과 윤리(AICE301) — 12학점
3학년 2학기: 기계학습(COSE362), 확률및랜덤과정(COSE382), 빅데이터분석(DATA304), 생체신호처리(BMED311), 의학영상처리(BMED318) — 15학점
(융합전공 졸업요건을 채워 나머지 18과목은 로드맵에 넣지 않았습니다. 관심 과목은 추가로 수강 가능합니다.)
이번 계획 27학점 / 2학기 + 기이수 인정 9학점 = 36학점 (융합전공 졸업요건 36학점)
선수과목 순서 위배: 0건 (등록된 선수관계 54개 기준)
참고
- 택1 과목이라 확률및랜덤과정(COSE382) 대신 확률및랜덤프로세스(KECE209)을(를) 들어도 됩니다.</t>
        </is>
      </c>
      <c r="G6" s="22" t="n">
        <v>0.22</v>
      </c>
    </row>
    <row r="7" ht="223.5" customHeight="1" s="14">
      <c r="A7" s="3" t="n">
        <v>3</v>
      </c>
      <c r="B7" s="15" t="inlineStr">
        <is>
          <t>운영체제와 C언어를 들은 정보보호 지망생</t>
        </is>
      </c>
      <c r="C7" s="15" t="inlineStr">
        <is>
          <t>정보보호</t>
        </is>
      </c>
      <c r="D7" s="15" t="inlineStr">
        <is>
          <t>COSE341 SMRT111</t>
        </is>
      </c>
      <c r="E7" s="4" t="n">
        <v>15</v>
      </c>
      <c r="F7" s="15" t="inlineStr">
        <is>
          <t>정보보호
3학년 1학기: 계산이론(COSE215), 컴퓨터구조(COSE222), 암호수학(SMRT221), 스타트업CampusCEO2.0(Ⅰ)(SPGE220), 역공학기법(ISEC303) — 15학점
3학년 2학기: 현대암호학(SMRT222), 해킹개론(SMRT226), 컴파일러(COSE312), 컴퓨터네트워크(COSE342), 소프트웨어공학(COSE352) — 15학점
(융합전공 졸업요건을 채워 나머지 18과목은 로드맵에 넣지 않았습니다. 관심 과목은 추가로 수강 가능합니다.)
이번 계획 30학점 / 2학기 + 기이수 인정 6학점 = 36학점 (융합전공 졸업요건 36학점)
선수과목 순서 위배: 0건 (등록된 선수관계 106개 기준)
참고
- 택1 과목이라 역공학기법(ISEC303) 대신 역공학(SMRT344)을(를) 들어도 됩니다.</t>
        </is>
      </c>
      <c r="G7" s="21" t="n">
        <v>0.28</v>
      </c>
    </row>
    <row r="8" ht="281.5" customHeight="1" s="14">
      <c r="A8" s="7" t="n">
        <v>4</v>
      </c>
      <c r="B8" s="18" t="inlineStr">
        <is>
          <t>학기당 21학점으로 빨리 끝내려는 학생 (공식 표기 '벤쳐'를 '벤처'로 입력)</t>
        </is>
      </c>
      <c r="C8" s="18" t="inlineStr">
        <is>
          <t>소프트웨어기술벤처</t>
        </is>
      </c>
      <c r="D8" s="18" t="inlineStr">
        <is>
          <t>COSE213 COSE211</t>
        </is>
      </c>
      <c r="E8" s="8" t="n">
        <v>21</v>
      </c>
      <c r="F8" s="18" t="inlineStr">
        <is>
          <t>소프트웨어기술벤쳐
3학년 1학기: 계산이론(COSE215), 알고리즘(COSE214), 공학수학(COSE281), 데이터통신(COSE242) — 12학점
3학년 2학기: 논리설계(COSE221), 데이터실험설계및분석(DATA301) — 6학점
4학년 1학기: 컴퓨터구조(COSE222), 프로그래밍 언어(COSE212), 빅데이터분석(DATA304) — 9학점
4학년 2학기: 창의적소프트웨어창업방법론(COSE394), 소프트웨어공학(COSE352), 기업가정신과 리더쉽(COSE389) — 9학점
(융합전공 졸업요건을 채워 나머지 70과목은 로드맵에 넣지 않았습니다. 관심 과목은 추가로 수강 가능합니다.)
이번 계획 36학점 / 4학기 + 기이수 인정 6학점 = 42학점 (융합전공 졸업요건 42학점)
선수과목 순서 위배: 0건 (등록된 선수관계 743개 기준)
참고
- 택1 과목이라 논리설계(COSE221) 대신 디지털시스템(KECE207)을(를) 들어도 됩니다.
- 택1 과목이라 공학수학(COSE281) 대신 공학수학Ⅰ(KECE231)을(를) 들어도 됩니다.
- 택1 과목이라 데이터통신(COSE242) 대신 데이터네트워크(KECE316)을(를) 들어도 됩니다.</t>
        </is>
      </c>
      <c r="G8" s="22" t="n">
        <v>0.44</v>
      </c>
    </row>
    <row r="9" ht="223.5" customHeight="1" s="14">
      <c r="A9" s="3" t="n">
        <v>5</v>
      </c>
      <c r="B9" s="15" t="inlineStr">
        <is>
          <t>주전공 부담 때문에 학기당 12학점만 가능한 학생</t>
        </is>
      </c>
      <c r="C9" s="15" t="inlineStr">
        <is>
          <t>뇌인지과학</t>
        </is>
      </c>
      <c r="D9" s="15" t="inlineStr">
        <is>
          <t>(입력 없음)</t>
        </is>
      </c>
      <c r="E9" s="4" t="n">
        <v>12</v>
      </c>
      <c r="F9" s="15" t="inlineStr">
        <is>
          <t>뇌인지과학
3학년 1학기: 계산이론(COSE215), 뇌및인지과학개론(BNCS301), 뇌및의공학입문(BNCS303), 뇌인지과학실습(BNCS315) — 12학점
3학년 2학기: 자료구조(COSE213), 공학수학(COSE281), 일반생물학및연습Ⅰ(LIBS151), 일반생물학실험Ⅰ(LIBS153), 인공지능의심리학(PSYC225), 자연지능의계산신경과학(PSYC279) — 12학점
4학년 1학기: 이산수학(COSE211), 알고리즘(COSE214), 일반생물학및연습Ⅱ(LIBS152), 일반생물학실험Ⅱ(LIBS154), 화학의기초실험Ⅰ(LIET155) — 11학점
4학년 2학기: 화학의기초실험Ⅱ(LIET156) — 1학점
(융합전공 졸업요건을 채워 나머지 19과목은 로드맵에 넣지 않았습니다. 관심 과목은 추가로 수강 가능합니다.)
총 36학점 / 4학기 (융합전공 졸업요건 36학점)
선수과목 순서 위배: 0건 (등록된 선수관계 72개 기준)</t>
        </is>
      </c>
      <c r="G9" s="21" t="n">
        <v>0.27</v>
      </c>
    </row>
    <row r="10" ht="281.5" customHeight="1" s="14">
      <c r="A10" s="7" t="n">
        <v>6</v>
      </c>
      <c r="B10" s="18" t="inlineStr">
        <is>
          <t>학기당 6학점만 들을 수 있는 학생 (R1과 비교)</t>
        </is>
      </c>
      <c r="C10" s="18" t="inlineStr">
        <is>
          <t>인공지능응용</t>
        </is>
      </c>
      <c r="D10" s="18" t="inlineStr">
        <is>
          <t>(입력 없음)</t>
        </is>
      </c>
      <c r="E10" s="8" t="n">
        <v>6</v>
      </c>
      <c r="F10" s="18" t="inlineStr">
        <is>
          <t>인공지능응용
3학년 1학기: 자료구조(COSE213), 공학수학(COSE281) — 6학점
3학년 2학기: 알고리즘(COSE214), 시계열분석(STAT302) — 6학점
4학년 1학기: 인공지능(COSE361), 확률및랜덤과정(COSE382) — 6학점
4학년 2학기: 기계학습(COSE362), 회귀분석(STAT342) — 6학점
5학년 1학기: 고급기계학습(DATA303), 인공지능과 윤리(AICE301) — 6학점
5학년 2학기: 빅데이터분석(DATA304), 생체신호처리(BMED311) — 6학점
(융합전공 졸업요건을 채워 나머지 18과목은 로드맵에 넣지 않았습니다. 관심 과목은 추가로 수강 가능합니다.)
총 36학점 / 6학기 (융합전공 졸업요건 36학점)
선수과목 순서 위배: 0건 (등록된 선수관계 54개 기준)
참고
- 계획이 5학년 2학기까지 이어져 4학년 2학기를 넘깁니다. 학기당 학점을 늘리거나 계절학기를 고려하세요.
- 택1 과목이라 확률및랜덤과정(COSE382) 대신 확률및랜덤프로세스(KECE209)을(를) 들어도 됩니다.</t>
        </is>
      </c>
      <c r="G10" s="22" t="n">
        <v>0.12</v>
      </c>
    </row>
    <row r="11" ht="194.5" customHeight="1" s="14">
      <c r="A11" s="3" t="n">
        <v>7</v>
      </c>
      <c r="B11" s="15" t="inlineStr">
        <is>
          <t>생태학을 들은 생태조경 지망생</t>
        </is>
      </c>
      <c r="C11" s="15" t="inlineStr">
        <is>
          <t>생태조경</t>
        </is>
      </c>
      <c r="D11" s="15" t="inlineStr">
        <is>
          <t>LIET219 LIET201</t>
        </is>
      </c>
      <c r="E11" s="4" t="n">
        <v>18</v>
      </c>
      <c r="F11" s="15" t="inlineStr">
        <is>
          <t>생태조경
3학년 1학기: 환경GIS및실습(LIET235), 환경정보및계획학실습(LIET237), 디자인표현기법(ARDE212), 기초정보디자인(ARDE229), 도시계획및설계(ARCH325) — 15학점
3학년 2학기: 조경시공관리학(LESF315), 물환경학(LIET206) — 6학점
4학년 1학기: 환경과디자인의이해및실습(LIET367), 조경표현기법및실습(LIET370), 조경디자인스튜디오및실습(LESF403) — 9학점
(융합전공 졸업요건을 채워 나머지 17과목은 로드맵에 넣지 않았습니다. 관심 과목은 추가로 수강 가능합니다.)
이번 계획 30학점 / 3학기 + 기이수 인정 6학점 = 36학점 (융합전공 졸업요건 36학점)
선수과목 순서 위배: 0건 (등록된 선수관계 100개 기준)</t>
        </is>
      </c>
      <c r="G11" s="21" t="n">
        <v>0.27</v>
      </c>
    </row>
    <row r="12" ht="223.5" customHeight="1" s="14">
      <c r="A12" s="7" t="n">
        <v>8</v>
      </c>
      <c r="B12" s="18" t="inlineStr">
        <is>
          <t>소문자와 쉼표로 입력하는 학생</t>
        </is>
      </c>
      <c r="C12" s="18" t="inlineStr">
        <is>
          <t>aice</t>
        </is>
      </c>
      <c r="D12" s="18" t="inlineStr">
        <is>
          <t>cose213, cose362</t>
        </is>
      </c>
      <c r="E12" s="8" t="n">
        <v>18</v>
      </c>
      <c r="F12" s="18" t="inlineStr">
        <is>
          <t>인공지능응용
3학년 1학기: 알고리즘(COSE214), 공학수학(COSE281), 시계열분석(STAT302), 회귀분석(STAT342), 인공지능과 윤리(AICE301) — 15학점
3학년 2학기: 인공지능(COSE361), 확률및랜덤과정(COSE382), 빅데이터분석(DATA304), 생체신호처리(BMED311), 의학영상처리(BMED318) — 15학점
(융합전공 졸업요건을 채워 나머지 18과목은 로드맵에 넣지 않았습니다. 관심 과목은 추가로 수강 가능합니다.)
이번 계획 30학점 / 2학기 + 기이수 인정 6학점 = 36학점 (융합전공 졸업요건 36학점)
선수과목 순서 위배: 0건 (등록된 선수관계 54개 기준)
참고
- 택1 과목이라 확률및랜덤과정(COSE382) 대신 확률및랜덤프로세스(KECE209)을(를) 들어도 됩니다.</t>
        </is>
      </c>
      <c r="G12" s="22" t="n">
        <v>0.38</v>
      </c>
    </row>
    <row r="13" ht="35" customHeight="1" s="14">
      <c r="A13" s="3" t="n">
        <v>9</v>
      </c>
      <c r="B13" s="15" t="inlineStr">
        <is>
          <t>주전공 학과명을 입력한 학생 (범위 밖)</t>
        </is>
      </c>
      <c r="C13" s="15" t="inlineStr">
        <is>
          <t>컴퓨터학과</t>
        </is>
      </c>
      <c r="D13" s="15" t="inlineStr">
        <is>
          <t>COSE213</t>
        </is>
      </c>
      <c r="E13" s="4" t="n">
        <v>18</v>
      </c>
      <c r="F13" s="15" t="inlineStr">
        <is>
          <t>'컴퓨터학과'는 학과·주전공으로 보입니다. 이 시스템은 융합전공 29개만 다루며 주전공·이중전공 커리큘럼은 포함하고 있지 않습니다. 관심 분야를 말씀해 주시면 맞는 융합전공을 찾아드리겠습니다.</t>
        </is>
      </c>
      <c r="G13" s="21" t="n">
        <v>0.17</v>
      </c>
    </row>
    <row r="14" ht="64" customHeight="1" s="14">
      <c r="A14" s="7" t="n">
        <v>10</v>
      </c>
      <c r="B14" s="18" t="inlineStr">
        <is>
          <t>학수번호가 공개되지 않은 전공을 고른 학생</t>
        </is>
      </c>
      <c r="C14" s="18" t="inlineStr">
        <is>
          <t>차세대반도체</t>
        </is>
      </c>
      <c r="D14" s="18" t="inlineStr">
        <is>
          <t>(입력 없음)</t>
        </is>
      </c>
      <c r="E14" s="8" t="n">
        <v>18</v>
      </c>
      <c r="F14" s="18" t="inlineStr">
        <is>
          <t>차세대반도체는 학교 자료에 과목별 학점과 학수번호가 공개되지 않아 로드맵과 졸업요건을 계산할 수 없습니다. 영역별 요건은 전공트랙(택1, 24학점), 공동운영(6학점), 학부인정(6학점), PBL·콜로키움(6학점), 자유이수(6학점, 상기 과목 중 선택)입니다. 교과목 목록은 교과목 조회로 볼 수 있고, 이수 계획은 주관 학과에 확인해 주세요.</t>
        </is>
      </c>
      <c r="G14" s="22" t="n">
        <v>0.21</v>
      </c>
    </row>
  </sheetData>
  <mergeCells count="2">
    <mergeCell ref="A2:G2"/>
    <mergeCell ref="A1:G1"/>
  </mergeCells>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F14"/>
  <sheetViews>
    <sheetView showGridLines="0" workbookViewId="0">
      <pane xSplit="2" ySplit="4" topLeftCell="C5" activePane="bottomRight" state="frozen"/>
      <selection pane="topRight" activeCell="A1" sqref="A1"/>
      <selection pane="bottomLeft" activeCell="A1" sqref="A1"/>
      <selection pane="bottomRight" activeCell="A1" sqref="A1:F1"/>
    </sheetView>
  </sheetViews>
  <sheetFormatPr baseColWidth="10" defaultColWidth="8.83203125" defaultRowHeight="17"/>
  <cols>
    <col width="7" customWidth="1" style="14" min="1" max="1"/>
    <col width="24" customWidth="1" style="14" min="2" max="2"/>
    <col width="16" customWidth="1" style="14" min="3" max="3"/>
    <col width="34" customWidth="1" style="14" min="4" max="4"/>
    <col width="84" customWidth="1" style="14" min="5" max="5"/>
    <col width="10" customWidth="1" style="14" min="6" max="6"/>
  </cols>
  <sheetData>
    <row r="1" ht="30" customHeight="1" s="14">
      <c r="A1" s="13" t="inlineStr">
        <is>
          <t>졸업요건 ·입력 10개와 실제 응답</t>
        </is>
      </c>
    </row>
    <row r="2" ht="34" customHeight="1" s="14">
      <c r="A2" s="20" t="n"/>
    </row>
    <row r="4" ht="22" customHeight="1" s="14">
      <c r="A4" s="19" t="inlineStr">
        <is>
          <t>번호</t>
        </is>
      </c>
      <c r="B4" s="19" t="inlineStr">
        <is>
          <t>사용자 상황</t>
        </is>
      </c>
      <c r="C4" s="19" t="inlineStr">
        <is>
          <t>입력 · 전공</t>
        </is>
      </c>
      <c r="D4" s="19" t="inlineStr">
        <is>
          <t>입력 · 이미 들은 과목</t>
        </is>
      </c>
      <c r="E4" s="19" t="inlineStr">
        <is>
          <t>실제 응답</t>
        </is>
      </c>
      <c r="F4" s="19" t="inlineStr">
        <is>
          <t>응답 시간(초)</t>
        </is>
      </c>
    </row>
    <row r="5" ht="35" customHeight="1" s="14">
      <c r="A5" s="3" t="n">
        <v>1</v>
      </c>
      <c r="B5" s="15" t="inlineStr">
        <is>
          <t>전공필수 하나만 들은 학생</t>
        </is>
      </c>
      <c r="C5" s="15" t="inlineStr">
        <is>
          <t>인공지능응용</t>
        </is>
      </c>
      <c r="D5" s="15" t="inlineStr">
        <is>
          <t>COSE213</t>
        </is>
      </c>
      <c r="E5" s="15" t="inlineStr">
        <is>
          <t>인공지능응용: 총 36학점 중 3학점 이수, 33학점 남음. 전공필수 6학점 중 3학점 이수, 3학점 부족. ※ 남은 전공필수: 기계학습(COSE362). 융합전공 졸업요건 미충족.</t>
        </is>
      </c>
      <c r="F5" s="21" t="n">
        <v>0.12</v>
      </c>
    </row>
    <row r="6" ht="49.5" customHeight="1" s="14">
      <c r="A6" s="7" t="n">
        <v>2</v>
      </c>
      <c r="B6" s="18" t="inlineStr">
        <is>
          <t>졸업을 앞둔 학생 (11과목 이수)</t>
        </is>
      </c>
      <c r="C6" s="18" t="inlineStr">
        <is>
          <t>AICE</t>
        </is>
      </c>
      <c r="D6" s="18" t="inlineStr">
        <is>
          <t>COSE213 COSE362 COSE214 COSE361 COSE474 COSE461 DATA303 DATA304 IMEN151 COSE281 STAT342</t>
        </is>
      </c>
      <c r="E6" s="18" t="inlineStr">
        <is>
          <t>인공지능응용: 총 36학점 중 33학점 이수, 3학점 남음. 전공필수 6학점 중 6학점 이수 (충족). 융합전공 졸업요건 미충족.</t>
        </is>
      </c>
      <c r="F6" s="22" t="n">
        <v>0.12</v>
      </c>
    </row>
    <row r="7" ht="49.5" customHeight="1" s="14">
      <c r="A7" s="3" t="n">
        <v>3</v>
      </c>
      <c r="B7" s="15" t="inlineStr">
        <is>
          <t>12과목을 모두 들은 정보보호 학생</t>
        </is>
      </c>
      <c r="C7" s="15" t="inlineStr">
        <is>
          <t>정보보호</t>
        </is>
      </c>
      <c r="D7" s="15" t="inlineStr">
        <is>
          <t>COSE341 COSE342 COSE354 ISEC302 ISEC303 ISEC304 SMRT221 SMRT222 SMRT226 SMRT303 SMRT323 SMRT334</t>
        </is>
      </c>
      <c r="E7" s="15" t="inlineStr">
        <is>
          <t>정보보호: 총 36학점 중 36학점 이수, 0학점 남음. 융합전공 졸업요건 충족.</t>
        </is>
      </c>
      <c r="F7" s="21" t="n">
        <v>0.12</v>
      </c>
    </row>
    <row r="8" ht="64" customHeight="1" s="14">
      <c r="A8" s="7" t="n">
        <v>4</v>
      </c>
      <c r="B8" s="18" t="inlineStr">
        <is>
          <t>택1 필수 과목을 둘 다 들은 학생</t>
        </is>
      </c>
      <c r="C8" s="18" t="inlineStr">
        <is>
          <t>소프트웨어기술벤처</t>
        </is>
      </c>
      <c r="D8" s="18" t="inlineStr">
        <is>
          <t>COSE213 IMEN224 COSE352</t>
        </is>
      </c>
      <c r="E8" s="18" t="inlineStr">
        <is>
          <t>소프트웨어기술벤쳐: 총 42학점 중 6학점 이수, 36학점 남음. 전공필수 12학점 중 6학점 이수, 6학점 부족. ※ 남은 전공필수: 기업가정신과 리더쉽(COSE389), 창의적소프트웨어창업방법론(COSE394). ※ 택1 과목은 1과목만 셌습니다 (자료구조 및 알고리즘(IMEN224) 제외, 추가 인정 여부는 학과 확인). 융합전공 졸업요건 미충족.</t>
        </is>
      </c>
      <c r="F8" s="22" t="n">
        <v>0.11</v>
      </c>
    </row>
    <row r="9" ht="49.5" customHeight="1" s="14">
      <c r="A9" s="3" t="n">
        <v>5</v>
      </c>
      <c r="B9" s="15" t="inlineStr">
        <is>
          <t>아직 아무 과목도 듣지 않은 학생</t>
        </is>
      </c>
      <c r="C9" s="15" t="inlineStr">
        <is>
          <t>기후변화</t>
        </is>
      </c>
      <c r="D9" s="15" t="inlineStr">
        <is>
          <t>(입력 없음)</t>
        </is>
      </c>
      <c r="E9" s="15" t="inlineStr">
        <is>
          <t>기후변화: 총 36학점 중 0학점 이수, 36학점 남음. 전공필수 6학점 중 0학점 이수, 6학점 부족. ※ 남은 전공필수: 기후변화과학(CCST301), 기후변화경제학(CCST401). 융합전공 졸업요건 미충족.</t>
        </is>
      </c>
      <c r="F9" s="21" t="n">
        <v>0.32</v>
      </c>
    </row>
    <row r="10" ht="35" customHeight="1" s="14">
      <c r="A10" s="7" t="n">
        <v>6</v>
      </c>
      <c r="B10" s="18" t="inlineStr">
        <is>
          <t>인문학과정의 필수 2과목을 들은 학생</t>
        </is>
      </c>
      <c r="C10" s="18" t="inlineStr">
        <is>
          <t>인문학과정의</t>
        </is>
      </c>
      <c r="D10" s="18" t="inlineStr">
        <is>
          <t>LALW103 PHIL220 SOCI464</t>
        </is>
      </c>
      <c r="E10" s="18" t="inlineStr">
        <is>
          <t>인문학과정의: 총 36학점 중 9학점 이수, 27학점 남음. 전공필수 6학점 중 6학점 이수 (충족). 융합전공 졸업요건 미충족.</t>
        </is>
      </c>
      <c r="F10" s="22" t="n">
        <v>0.17</v>
      </c>
    </row>
    <row r="11" ht="49.5" customHeight="1" s="14">
      <c r="A11" s="3" t="n">
        <v>7</v>
      </c>
      <c r="B11" s="15" t="inlineStr">
        <is>
          <t>같은 학수번호를 두 번 적은 학생 (Q1과 비교)</t>
        </is>
      </c>
      <c r="C11" s="15" t="inlineStr">
        <is>
          <t>인공지능응용</t>
        </is>
      </c>
      <c r="D11" s="15" t="inlineStr">
        <is>
          <t>COSE213 COSE213</t>
        </is>
      </c>
      <c r="E11" s="15" t="inlineStr">
        <is>
          <t>인공지능응용: 총 36학점 중 3학점 이수, 33학점 남음. 전공필수 6학점 중 3학점 이수, 3학점 부족. ※ 남은 전공필수: 기계학습(COSE362). ※ 같은 학수번호를 두 번 이상 입력해 한 번만 셌습니다 (COSE213). 융합전공 졸업요건 미충족.</t>
        </is>
      </c>
      <c r="F11" s="21" t="n">
        <v>0.11</v>
      </c>
    </row>
    <row r="12" ht="35" customHeight="1" s="14">
      <c r="A12" s="7" t="n">
        <v>8</v>
      </c>
      <c r="B12" s="18" t="inlineStr">
        <is>
          <t>학수번호 대신 과목명을 적는 학생</t>
        </is>
      </c>
      <c r="C12" s="18" t="inlineStr">
        <is>
          <t>인공지능응용</t>
        </is>
      </c>
      <c r="D12" s="18" t="inlineStr">
        <is>
          <t>자료구조 기계학습</t>
        </is>
      </c>
      <c r="E12" s="18" t="inlineStr">
        <is>
          <t>인공지능응용: 총 36학점 중 6학점 이수, 30학점 남음. 전공필수 6학점 중 6학점 이수 (충족). 융합전공 졸업요건 미충족.</t>
        </is>
      </c>
      <c r="F12" s="22" t="n">
        <v>0.11</v>
      </c>
    </row>
    <row r="13" ht="49.5" customHeight="1" s="14">
      <c r="A13" s="3" t="n">
        <v>9</v>
      </c>
      <c r="B13" s="15" t="inlineStr">
        <is>
          <t>존재하지 않는 학수번호를 섞어 쓴 학생</t>
        </is>
      </c>
      <c r="C13" s="15" t="inlineStr">
        <is>
          <t>인공지능응용</t>
        </is>
      </c>
      <c r="D13" s="15" t="inlineStr">
        <is>
          <t>COSE999 ABC123 COSE213</t>
        </is>
      </c>
      <c r="E13" s="15" t="inlineStr">
        <is>
          <t>인공지능응용: 총 36학점 중 3학점 이수, 33학점 남음. 전공필수 6학점 중 3학점 이수, 3학점 부족. ※ 남은 전공필수: 기계학습(COSE362). ※ 이 전공 교과목이 아니어서 제외했습니다: 확인되지 않는 학수번호 COSE999, ABC123. 융합전공 졸업요건 미충족.</t>
        </is>
      </c>
      <c r="F13" s="21" t="n">
        <v>0.11</v>
      </c>
    </row>
    <row r="14" ht="49.5" customHeight="1" s="14">
      <c r="A14" s="7" t="n">
        <v>10</v>
      </c>
      <c r="B14" s="18" t="inlineStr">
        <is>
          <t>폐지된 융합전공을 입력한 학생</t>
        </is>
      </c>
      <c r="C14" s="18" t="inlineStr">
        <is>
          <t>식품산업관리</t>
        </is>
      </c>
      <c r="D14" s="18" t="inlineStr">
        <is>
          <t>(입력 없음)</t>
        </is>
      </c>
      <c r="E14" s="18" t="inlineStr">
        <is>
          <t>식품산업관리 (폐지)는 폐지된 융합전공입니다. 새로 이수할 수 있는지는 학과에 확인하세요. 아래는 기존 이수자 기준 계산입니다. 식품산업관리 (폐지): 총 36학점 중 0학점 이수, 36학점 남음. 융합전공 졸업요건 미충족.</t>
        </is>
      </c>
      <c r="F14" s="22" t="n">
        <v>0.17</v>
      </c>
    </row>
  </sheetData>
  <mergeCells count="2">
    <mergeCell ref="A2:F2"/>
    <mergeCell ref="A1:F1"/>
  </mergeCells>
  <pageMargins left="0.75" right="0.75" top="1" bottom="1" header="0.5" footer="0.5"/>
  <pageSetup orientation="landscape" fitToHeight="0"/>
</worksheet>
</file>

<file path=xl/worksheets/sheet7.xml><?xml version="1.0" encoding="utf-8"?>
<worksheet xmlns="http://schemas.openxmlformats.org/spreadsheetml/2006/main">
  <sheetPr>
    <outlinePr summaryBelow="1" summaryRight="1"/>
    <pageSetUpPr fitToPage="1"/>
  </sheetPr>
  <dimension ref="A1:F44"/>
  <sheetViews>
    <sheetView showGridLines="0" workbookViewId="0">
      <pane xSplit="2" ySplit="4" topLeftCell="C5" activePane="bottomRight" state="frozen"/>
      <selection pane="topRight" activeCell="A1" sqref="A1"/>
      <selection pane="bottomLeft" activeCell="A1" sqref="A1"/>
      <selection pane="bottomRight" activeCell="A2" sqref="A2:F2"/>
    </sheetView>
  </sheetViews>
  <sheetFormatPr baseColWidth="10" defaultColWidth="8.83203125" defaultRowHeight="17"/>
  <cols>
    <col width="11" customWidth="1" style="14" min="1" max="1"/>
    <col width="7" customWidth="1" style="14" min="2" max="2"/>
    <col width="28" customWidth="1" style="14" min="3" max="3"/>
    <col width="62" customWidth="1" style="14" min="4" max="5"/>
  </cols>
  <sheetData>
    <row r="1" ht="30" customHeight="1" s="14">
      <c r="A1" s="13" t="inlineStr">
        <is>
          <t>개선 전후 비교 · 같은 입력, 수정 전 응답과 수정 후 응답</t>
        </is>
      </c>
    </row>
    <row r="2" ht="34" customHeight="1" s="14">
      <c r="A2" s="20" t="n"/>
    </row>
    <row r="4" ht="22" customHeight="1" s="14">
      <c r="A4" s="19" t="inlineStr">
        <is>
          <t>메뉴</t>
        </is>
      </c>
      <c r="B4" s="19" t="inlineStr">
        <is>
          <t>번호</t>
        </is>
      </c>
      <c r="C4" s="19" t="inlineStr">
        <is>
          <t>실제 입력</t>
        </is>
      </c>
      <c r="D4" s="19" t="inlineStr">
        <is>
          <t>수정 전 응답</t>
        </is>
      </c>
      <c r="E4" s="19" t="inlineStr">
        <is>
          <t>수정 후 응답</t>
        </is>
      </c>
    </row>
    <row r="5" ht="238" customHeight="1" s="14">
      <c r="A5" s="3" t="inlineStr">
        <is>
          <t>챗봇</t>
        </is>
      </c>
      <c r="B5" s="4" t="n">
        <v>1</v>
      </c>
      <c r="C5" s="15" t="inlineStr">
        <is>
          <t>생물 데이터로 질병 예측 모델을 만들고 싶은데 어떤 융합전공이 맞을까요?</t>
        </is>
      </c>
      <c r="D5" s="15" t="inlineStr">
        <is>
          <t>추천 융합전공
1. 메디컬융합공학 (유사도 1.00) · KU-KIST융합대학원
2. 미생물융합기술 (유사도 0.89) · 생명과학대학 환경생태공학부
3. 뇌인지과학 (유사도 0.87) · 정보대학 컴퓨터학과
4. 인공지능응용 (유사도 0.86) · 정보대학 컴퓨터학과
5. 의료인문학 (유사도 0.82) · 문과대학
메디컬융합공학과 미생물융합기술 전공이 가장 적합해요. 생물 데이터와 질병 관련 분야에 초점이 맞춰져 있습니다. 추가로 궁금한 점이 있거나, 특정 전공의 교과목/요건을 알고 싶다면 말씀해 주세요!</t>
        </is>
      </c>
      <c r="E5" s="15" t="inlineStr">
        <is>
          <t>추천 융합전공
1. 메디컬융합공학 · KU-KIST융합대학원 (상대 점수 1.00)
2. 미생물융합기술 · 생명과학대학 환경생태공학부 (상대 점수 0.89)
3. 뇌인지과학 · 정보대학 컴퓨터학과 (상대 점수 0.85)
4. 인공지능응용 · 정보대학 컴퓨터학과 (상대 점수 0.83)
5. 의료인문학 · 문과대학 (상대 점수 0.80)
(상대 점수는 후보 전공끼리 비교한 값으로 1위가 1.00)
메디컬융합공학, 미생물융합기술, 뇌인지과학, 인공지능응용, 의료인문학 등 5개 전공이 후보입니다. 1. 메디컬융합공학 (1.00점) - 생물 관련 기술로 질병 모델 개발에 적합 2. 미생물융합기술 (0.89점) - 생물·질병 키워드 모두 매칭 3. 뇌인지과학 (0.85점) - 생물 기반 인지 분석에 강점 4. 인공지능응용 (0.83점) - 데이터 기반 예측 모델 개발 분야 5. 의료인문학 (0.80점) - 의료 융합과 생물학적 접근 가능 필요한 전공을 선택해 주세요. 해당 전공의 교과목, 졸업요건, 로드맵 등 자세히 안내해 드릴게요.</t>
        </is>
      </c>
    </row>
    <row r="6" ht="136.5" customHeight="1" s="14">
      <c r="A6" s="7" t="inlineStr">
        <is>
          <t>챗봇</t>
        </is>
      </c>
      <c r="B6" s="8" t="n">
        <v>2</v>
      </c>
      <c r="C6" s="18" t="inlineStr">
        <is>
          <t>인공지능응용 융합전공 전공필수 과목이 뭐예요?</t>
        </is>
      </c>
      <c r="D6" s="18" t="inlineStr">
        <is>
          <t>추천 융합전공
1. 인공지능응용 (유사도 1.00) · 정보대학 컴퓨터학과
인공지능응용에는 '전공필수' 구분의 교과목이 없습니다. (전체 교과목은 31개)
전공필수 과목이 없어도 졸업을 위해 전공총과목 31과목을 다수강해야 합니다. 교과과정을 보시려면 '인공지능응용융합전공_교과목' sheet를 확인해 주세요.</t>
        </is>
      </c>
      <c r="E6" s="18" t="inlineStr">
        <is>
          <t>인공지능응용 교과목 2개
전공필수 COSE362 기계학습 (3학점, 권장 3/2)
전공필수 COSE213 자료구조 (3학점, 권장 3/1)
인공지능응용 전공필수 과목은 다음과 같아요. - COSE362 기계학습 (3학점, 권장 3/2 학기) - COSE213 자료구조 (3학점, 권장 3/1 학기) 추가 문의는 학과에 확인해 주세요.</t>
        </is>
      </c>
    </row>
    <row r="7" ht="136.5" customHeight="1" s="14">
      <c r="A7" s="3" t="inlineStr">
        <is>
          <t>챗봇</t>
        </is>
      </c>
      <c r="B7" s="4" t="n">
        <v>3</v>
      </c>
      <c r="C7" s="15" t="inlineStr">
        <is>
          <t>AICE에서 자료구조랑 기계학습 들었는데 졸업하려면 몇 학점 더 들어야 해요?</t>
        </is>
      </c>
      <c r="D7" s="15" t="inlineStr">
        <is>
          <t>인공지능응용 졸업요건
총 이수학점: 36학점 중 6학점 이수 (30학점 남음)
전공필수: 6학점 중 6학점 이수 (충족)
규정: 일반 융합전공 기준
졸업요건 미충족
AICE 전공 졸업을 위해 총 36학점 중 6학점만 이수하셨네요. 남은 30학점은 전공선택 과목이나 다른 요건을 이수해야 해요. 과정 안내서를 참고해 추가로 듣고 싶은 과목을 알려주세요.</t>
        </is>
      </c>
      <c r="E7" s="15" t="inlineStr">
        <is>
          <t>인공지능응용 졸업요건
총 이수학점: 36학점 중 6학점 이수 (30학점 남음)
전공필수: 6학점 중 6학점 이수 (충족)
규정: 일반 융합전공 기준
융합전공 졸업요건 미충족
인공지능응용 전공은 총 36학점을 이수해야 하며, 현재 6학점만 이수했습니다. 졸업까지 30학점이 더 필요합니다. 수강 과목을 추가하거나 커리큘럼을 확인해 보시겠어요?</t>
        </is>
      </c>
    </row>
    <row r="8" ht="223.5" customHeight="1" s="14">
      <c r="A8" s="7" t="inlineStr">
        <is>
          <t>챗봇</t>
        </is>
      </c>
      <c r="B8" s="8" t="n">
        <v>4</v>
      </c>
      <c r="C8" s="18" t="inlineStr">
        <is>
          <t>정보보호 융합전공 로드맵 짜 주세요. 지금 3학년 1학기고 한 학기에 15학점까지 들을 수 있어요</t>
        </is>
      </c>
      <c r="D8" s="18" t="inlineStr">
        <is>
          <t>'INFOSEC' 융합전공을 찾을 수 없습니다. 전공명을 다시 확인해 주시거나, 관심 분야를 말씀해 주시면 후보를 찾아드리겠습니다.
"정보보호 융합전공"의 정확한 전공 코드가 필요합니다. 전공명을 다시 확인하거나, 관심 분야(예: 암호학, 네트워크 보안, 데이터 보호 등)를 말씀해 주시면 관련 전공을 추천해 드릴 수 있습니다.</t>
        </is>
      </c>
      <c r="E8" s="18" t="inlineStr">
        <is>
          <t>정보보호 수강 로드맵
3학년 1학기 (12학점): 계산이론(COSE215), 컴퓨터구조(COSE222), C언어 및 실습(SMRT111), 스타트업CampusCEO2.0(Ⅰ)(SPGE220)
3학년 2학기 (12학점): 암호수학(SMRT221), 현대암호학(SMRT222), 해킹개론(SMRT226), 운영체제(COSE341)
4학년 1학기 (12학점): 컴파일러(COSE312), 컴퓨터네트워크(COSE342), 소프트웨어공학(COSE352), 정보보호(COSE354)
총 36학점 / 3학기 (융합전공 졸업요건 36학점)
선수과목 순서 위배: 0건
(졸업요건을 채워 나머지 18과목은 제외)
정보보호 융합전공 졸업 요건 36학점은 3학년 1학기부터 4학년 1학기까지 12학점씩 3학기로 완료 가능해요. 현재 3/1 학기부터 시작해 3/2, 4/1 순서로 수강할 수 있도록 로드맵을 짰어요. 필요하시면 수강 순서 조정이나 졸업요건 확인도 도와드릴게요!</t>
        </is>
      </c>
    </row>
    <row r="9" ht="238" customHeight="1" s="14">
      <c r="A9" s="3" t="inlineStr">
        <is>
          <t>챗봇</t>
        </is>
      </c>
      <c r="B9" s="4" t="n">
        <v>5</v>
      </c>
      <c r="C9" s="15" t="inlineStr">
        <is>
          <t>제 학번은 2021320123이에요. 금융공학 융합전공 졸업요건 알려주세요</t>
        </is>
      </c>
      <c r="D9" s="15" t="inlineStr">
        <is>
          <t>입력에서 학번을 발견해 가렸습니다. 이 시스템은 학수번호와 학년·학기만 있으면 동작하므로 개인정보를 적지 않으셔도 됩니다.
추천 융합전공
1. 금융공학 (유사도 1.00) · 정경대학 경제학과
   지원조건: 서울캠퍼스 소속 학생만 지원 가능
금융공학 졸업요건
총 이수학점: 36학점 중 0학점 이수 (36학점 남음)
규정: 전공필수 구분 없음 (전공선택으로 이수)
졸업요건 미충족
금융공학 전공은 총 36학점 이수해야 합니다. 현재 0학점 이수 중이므로 36학점 이수해야 졸업요건을 충족할 수 있습니다. 교과과정 상세사항이나 수강순서는 [query_curriculum] 또는 [build_roadmap] 도구로 확인 가능합니다. 추가 상담 필요하시면 언제든지 말씀해주세요.</t>
        </is>
      </c>
      <c r="E9" s="15" t="inlineStr">
        <is>
          <t>입력에서 학번을 발견해 가렸습니다. 이 시스템은 학수번호와 학년·학기만 있으면 동작하므로 개인정보를 적지 않으셔도 됩니다.
금융공학 졸업요건
총 이수학점: 36학점 중 0학점 이수 (36학점 남음)
규정: 전공필수 구분 없음 (전공선택으로 이수)
융합전공 졸업요건 미충족
금융공학 전공은 총 36학점이 필요해요. 현재 이수한 과목이 없어서 모두 남아있어요. 지금까지 수강한 과목이 있으면 확인해 주세요! 추가 문의 사항이 있나요?</t>
        </is>
      </c>
    </row>
    <row r="10" ht="238" customHeight="1" s="14">
      <c r="A10" s="7" t="inlineStr">
        <is>
          <t>챗봇</t>
        </is>
      </c>
      <c r="B10" s="8" t="n">
        <v>6</v>
      </c>
      <c r="C10" s="18" t="inlineStr">
        <is>
          <t>컴퓨터학과 이중전공 하려면 뭐 들어야 해요?</t>
        </is>
      </c>
      <c r="D10" s="18" t="inlineStr">
        <is>
          <t>추천 융합전공
1. 소프트웨어기술벤쳐 (유사도 1.00) · 정보대학 컴퓨터학과
소프트웨어기술벤쳐 교과목 6개
전공필수 COSE213 자료구조 (3학점, 권장 2/1)
전공필수 IMEN224 자료구조 및 알고리즘 (3학점, 권장 2/1)
전공필수 KECE208 데이터구조 및 알고리즘 (3학점, 권장 2/1)
전공필수 COSE352 소프트웨어공학 (3학점, 권장 3/2)
전공필수 COSE389 기업가정신과 리더쉽 (3학점, 권장 4/1)
전공필수 COSE394 창의적소프트웨어창업방법론 (3학점, 권장 3/1)
전공필수 과목은 자료구조(COSE213, IMEN224, KECE208)와 소프트웨어공학(COSE352) 등 6과목이 필요합니다. 권장 수강순서는 2학년 1학기부터 시작해 3학년 2학기까지 진행해야 합니다. 자세한 교과목 정보는 소프트웨어기술벤쳐융합전공_교과목에서 확인할 수 있습니다. 추가 문의사항이 있으신가요?</t>
        </is>
      </c>
      <c r="E10" s="18" t="inlineStr">
        <is>
          <t>이 서비스는 고려대 서울캠퍼스 융합전공만 다룹니다. 주전공·이중전공·부전공 교육과정은 포함하고 있지 않으니 소속 학과나 학사 공지에서 확인해 주세요.
관심 분야나 진로를 알려주시면 맞는 융합전공을 찾아드릴게요. (예: 데이터 분석에 관심 있어요)</t>
        </is>
      </c>
    </row>
    <row r="11" ht="409" customHeight="1" s="14">
      <c r="A11" s="3" t="inlineStr">
        <is>
          <t>챗봇</t>
        </is>
      </c>
      <c r="B11" s="4" t="n">
        <v>7</v>
      </c>
      <c r="C11" s="15" t="inlineStr">
        <is>
          <t>경영학과 학생인데 창업에 관심이 있어요. 어떤 융합전공이 좋을까요?
그럼 첫 번째로 추천해 준 전공 로드맵 짜 주세요. 한 학기에 12학점까지만 들을 수 있어요</t>
        </is>
      </c>
      <c r="D11" s="15" t="inlineStr">
        <is>
          <t>추천 융합전공
1. 기술창업 (유사도 1.00) · 크림슨창업지원단
2. 소프트웨어기술벤쳐 (유사도 0.69) · 정보대학 컴퓨터학과
3. 정보보호 (유사도 0.62) · 정보대학 컴퓨터학과
4. 인문사회디지털콘텐츠 (유사도 0.61) · 인문사회 디지털융합 인재양성사업단
5. 개인정보보호 (유사도 0.34) · 스마트보안학부
기술창업 전공이 가장 관련성이 높아요. 현재 수강 중인 과목이나 관심 분야(예: 디지털 툴, 마케팅, 기술 개발 등)를 알려주시면, 더 맞춤화된 조언을 드릴 수 있습니다. 추가로 관련 전공의 졸업 요건도 궁금하신가요?
기술창업 수강 로드맵
3/1 (12학점): SPGE220, SPGE221, TEEN303, TEEN306
3/2 (12학점): TEEN311, TEEN312, TEEN313
4/1 (12학점): TEEN314, BUSS165, ACEE123
총 36학점 / 3학기 (졸업요건 36학점)
선수과목 순서 위배: 0건
(졸업요건 충족으로 나머지 34과목은 제외)
3학년 1학기: 스타트업CampusCEO2.0(Ⅰ)(SPGE220), 스타트업CampusCEO2.0(Ⅱ)(SPGE221), 혁신성장창업트렌드(TEEN303), 기술창업전략(TEEN306) — 12학점 3학년 2학기: 창업현장실습Ⅰ(TEEN311), 창업현장실습Ⅱ(TEEN312), 창업활동실습Ⅰ(TEEN313) — 12학점 4학년 1학기: 창업활동실습Ⅱ(TEEN314), 창업가의마인드셋(BUSS165), 건축시스템의이해(ACEE123) — 12학점 총 36학점(3학년 1학기 ~ 4학년 1학기)으로 졸업요건을 충족합니다. 추가로 관심 있는 과목은 자유롭게 수강 가능합니다. 로드맵에 없는 과목이 궁금하신가요?</t>
        </is>
      </c>
      <c r="E11" s="15" t="inlineStr">
        <is>
          <t>추천 융합전공
1. 기술창업 · 크림슨창업지원단 (상대 점수 1.00)
2. 소프트웨어기술벤쳐 · 정보대학 컴퓨터학과 (상대 점수 0.69)
3. 정보보호 · 정보대학 컴퓨터학과 (상대 점수 0.62)
4. 인문사회디지털콘텐츠 · 인문사회 디지털융합 인재양성사업단 (상대 점수 0.61)
5. 개인정보보호 · 스마트보안학부 (상대 점수 0.34)
(상대 점수는 후보 전공끼리 비교한 값으로 1위가 1.00)
기술창업 전공이 가장 적합해요! 창업에 대한 직접적인 키워드 매칭도 높고, 크림슨창업지원단에서 운영하는 전공입니다. 다음으로는 소프트웨어기술벤쳐, 정보보호, 인문사회디지털콘텐츠 등이 후보에요. 관심 있는 전공의 교과목이나 졸업요건을 더 알고 싶으면 말씀해주세요!
기술창업 수강 로드맵
3학년 1학기 (12학점): 스타트업CampusCEO2.0(Ⅰ)(SPGE220), 창업현장실습Ⅰ(TEEN311), 창업활동실습Ⅰ(TEEN313), 혁신성장창업트렌드(TEEN303)
3학년 2학기 (12학점): 스타트업CampusCEO2.0(Ⅱ)(SPGE221), 기술창업전략(TEEN306), 창업현장실습Ⅱ(TEEN312)
4학년 1학기 (12학점): 창업활동실습Ⅱ(TEEN314), 창업가의마인드셋(BUSS165), 건축시스템의이해(ACEE123)
총 36학점 / 3학기 (융합전공 졸업요건 36학점)
선수과목 순서 위배: 0건
(졸업요건을 채워 나머지 34과목은 제외)
3학년 1학기부터 4학년 1학기까지 36학점이 필요한 기술창업 전공 로드맵을 짰어요. 3학년 1학기: 스타트업CampusCEO2.0, 창업현장실습Ⅰ, 창업활동실습Ⅰ, 혁신성장창업트렌드 3학년 2학기: 스타트업CampusCEO2.0, 기술창업전략, 창업현장실습Ⅱ 4학년 1학기: 창업활동실습Ⅱ, 창업가의마인드셋, 건축시스템의이해 34개 과목은 졸업요건 외 선택과목으로, 관심 분야에 맞춰 추가 수강 가능합니다. 다음 학기 수강 순서 조정이나 특정 과목 추가에 대해 더 알려주세요!</t>
        </is>
      </c>
    </row>
    <row r="12" ht="93" customHeight="1" s="14">
      <c r="A12" s="7" t="inlineStr">
        <is>
          <t>챗봇</t>
        </is>
      </c>
      <c r="B12" s="8" t="n">
        <v>8</v>
      </c>
      <c r="C12" s="18" t="inlineStr">
        <is>
          <t>COSE213 강의계획서에서 평가 방식이랑 주차별 수업 내용 알려 주세요</t>
        </is>
      </c>
      <c r="D12" s="18" t="inlineStr">
        <is>
          <t>강의계획서를 조회할 수 없습니다.
강의계획서는 교내망에서만 확인 가능합니다. 학교 홈페이지 또는 교과서로 확인하시기 바랍니다. 다른 궁금사항 있나요?</t>
        </is>
      </c>
      <c r="E12" s="18" t="inlineStr">
        <is>
          <t>강의계획서를 조회할 수 없습니다.
강의계획서 조회는 현재 오프라인 모드에서는 지원되지 않습니다. 교내망을 통해 확인하고자 하신다면, 고려대학교 교내망을 사용해 주세요. 관련 문의는 해당 강의 개설 학과에 드릴 수 있습니다. 다른 궁금사항 있으신가요?</t>
        </is>
      </c>
    </row>
    <row r="13" ht="49.5" customHeight="1" s="14">
      <c r="A13" s="3" t="inlineStr">
        <is>
          <t>챗봇</t>
        </is>
      </c>
      <c r="B13" s="4" t="n">
        <v>9</v>
      </c>
      <c r="C13" s="15" t="inlineStr">
        <is>
          <t>융합전공 신청 기간이 언제예요?</t>
        </is>
      </c>
      <c r="D13" s="15" t="inlineStr">
        <is>
          <t>융합전공 신청 기간은 고려대학교 입학포털에서 확인 가능합니다. 학과사무실 또는 학생지원처에 문의하시면 정확한 날짜를 알 수 있습니다.</t>
        </is>
      </c>
      <c r="E13" s="15" t="inlineStr">
        <is>
          <t>융합전공 신청 기간은 학과 및 관련 학사 규정에 따라 다를 수 있으며, 이에 대한 안내는 고려대학교 홈페이지 또는 관련 학과사무실에서 확인하시기 바랍니다.</t>
        </is>
      </c>
    </row>
    <row r="14" ht="78.5" customHeight="1" s="14">
      <c r="A14" s="7" t="inlineStr">
        <is>
          <t>챗봇</t>
        </is>
      </c>
      <c r="B14" s="8" t="n">
        <v>10</v>
      </c>
      <c r="C14" s="18" t="inlineStr">
        <is>
          <t>안녕하세요, 여기서 뭘 물어볼 수 있어요?</t>
        </is>
      </c>
      <c r="D14" s="18" t="inlineStr">
        <is>
          <t>안녕하세요! 전공선택, 수강요건, 과목정보, 졸업요건 등 고려대 학부생 관련 질문이 있으세요? 자세한 내용은 도움을 드릴 수 있습니다!</t>
        </is>
      </c>
      <c r="E14" s="18" t="inlineStr">
        <is>
          <t>안녕하세요! 융합전공 관련 궁금한 점이 있다면 아래 네 가지로 문의해 주세요: 1. 관심 분야에 맞는 전공 추천 (예: "AI에 관심 있는데 어떤 전공이 있나요?") 2. 전공의 교과목 또는 커리큘럼 확인 3. 졸업요건 충족 여부 및 학점 확인 4. 수강 로드맵 작성 및 순서 안내 행정 사항(신청 기간 등)은 학과나 학사 공지에서 확인해 주세요!</t>
        </is>
      </c>
    </row>
    <row r="15" ht="122" customHeight="1" s="14">
      <c r="A15" s="3" t="inlineStr">
        <is>
          <t>전공 추천</t>
        </is>
      </c>
      <c r="B15" s="4" t="n">
        <v>1</v>
      </c>
      <c r="C15" s="15" t="inlineStr">
        <is>
          <t>경제학과 2학년인데 데이터로 주식 시장을 분석해 보고 싶어요</t>
        </is>
      </c>
      <c r="D15" s="15" t="inlineStr">
        <is>
          <t>KR-SBERT 임베딩
1. 금융공학 (유사도 1.00) (지원조건: 서울캠퍼스 소속 학생만 지원 가능)
2. PEP (유사도 0.72)
3. 공직과사회규범 (유사도 0.69)
4. 기후변화 (유사도 0.66)
5. 개인정보보호 (유사도 0.64)</t>
        </is>
      </c>
      <c r="E15" s="15" t="inlineStr">
        <is>
          <t>1. 금융공학 · 정경대학 경제학과 (상대 점수 1.00) (지원조건: 서울캠퍼스 소속 학생만 지원 가능)
2. PEP · 정경대학 경제학과 (상대 점수 0.72)
3. 공직과사회규범 · 정경대학 행정학과 (상대 점수 0.69)
4. 기후변화 · 생명과학대학 환경생태공학부 (상대 점수 0.66)
5. 개인정보보호 · 스마트보안학부 (상대 점수 0.64)
(상대 점수는 후보 전공끼리 비교한 값으로 1위가 1.00)</t>
        </is>
      </c>
    </row>
    <row r="16" ht="136.5" customHeight="1" s="14">
      <c r="A16" s="7" t="inlineStr">
        <is>
          <t>전공 추천</t>
        </is>
      </c>
      <c r="B16" s="8" t="n">
        <v>2</v>
      </c>
      <c r="C16" s="18" t="inlineStr">
        <is>
          <t>외국인 유학생들한테 한국어를 가르치는 일을 하고 싶어요</t>
        </is>
      </c>
      <c r="D16" s="18" t="inlineStr">
        <is>
          <t>KR-SBERT 임베딩
1. GKS (Global Korean Studies) (유사도 1.00) (지원조건: 외국인 학생에 한하여 지원 가능)
2. 다문화한국어교육 (유사도 0.94)
3. LB&amp;C (Language, Brain &amp; Computer) (유사도 0.76)
4. 통일과국제평화 (유사도 0.63)
5. 인문학과정의 (유사도 0.62)</t>
        </is>
      </c>
      <c r="E16" s="18" t="inlineStr">
        <is>
          <t>1. GKS (Global Korean Studies) · 국제대학 (상대 점수 1.00) (지원조건: 외국인 학생에 한하여 지원 가능)
2. 다문화한국어교육 · 사범대학 국어교육과 (상대 점수 0.94)
3. LB&amp;C (Language, Brain &amp; Computer) · 문과대학 (상대 점수 0.76)
4. 통일과국제평화 · 문과대학 (상대 점수 0.63)
5. 인문학과정의 · 문과대학 (상대 점수 0.62)
(상대 점수는 후보 전공끼리 비교한 값으로 1위가 1.00)</t>
        </is>
      </c>
    </row>
    <row r="17" ht="151" customHeight="1" s="14">
      <c r="A17" s="3" t="inlineStr">
        <is>
          <t>전공 추천</t>
        </is>
      </c>
      <c r="B17" s="4" t="n">
        <v>3</v>
      </c>
      <c r="C17" s="15" t="inlineStr">
        <is>
          <t>미생물로 신약이나 바이오 소재를 만드는 연구에 관심 있어요</t>
        </is>
      </c>
      <c r="D17" s="15" t="inlineStr">
        <is>
          <t>KR-SBERT 임베딩
1. 미생물융합기술 (유사도 1.00) — '바이오' 관련
2. 메디컬융합공학 (유사도 0.60) — '바이오' 관련
3. 에코스마트시티 (유사도 0.45) (지원조건: 서울캠퍼스 소속 학생만 지원 가능)
4. 기술‧가정교육 (유사도 0.42)
5. 뇌인지과학 (유사도 0.39)</t>
        </is>
      </c>
      <c r="E17" s="15" t="inlineStr">
        <is>
          <t>1. 미생물융합기술 · 생명과학대학 환경생태공학부 (상대 점수 1.00) — '바이오' 관련
2. 메디컬융합공학 · KU-KIST융합대학원 (상대 점수 0.60) — '바이오' 관련
3. 에코스마트시티 · 에코업 혁신융합대학 (상대 점수 0.45) (지원조건: 서울캠퍼스 소속 학생만 지원 가능)
4. 기술‧가정교육 · 사범대학 가정교육과 (상대 점수 0.42)
5. 뇌인지과학 · 정보대학 컴퓨터학과 (상대 점수 0.39)
(상대 점수는 후보 전공끼리 비교한 값으로 1위가 1.00)</t>
        </is>
      </c>
    </row>
    <row r="18" ht="165.5" customHeight="1" s="14">
      <c r="A18" s="7" t="inlineStr">
        <is>
          <t>전공 추천</t>
        </is>
      </c>
      <c r="B18" s="8" t="n">
        <v>4</v>
      </c>
      <c r="C18" s="18" t="inlineStr">
        <is>
          <t>기후 위기 대응이나 탄소중립 정책 쪽으로 진로를 생각하고 있어요</t>
        </is>
      </c>
      <c r="D18" s="18" t="inlineStr">
        <is>
          <t>KR-SBERT 임베딩
1. 기후변화 (유사도 1.00) — '기후, 정책' 관련
2. 에코스마트시티 (유사도 0.77) — '기후, 정책' 관련 (지원조건: 서울캠퍼스 소속 학생만 지원 가능)
3. 에너지신산업 (유사도 0.65) — '기후, 정책' 관련
4. 생태조경 (유사도 0.61) — '기후, 정책' 관련
5. 미생물융합기술 (유사도 0.39)</t>
        </is>
      </c>
      <c r="E18" s="18" t="inlineStr">
        <is>
          <t>1. 기후변화 · 생명과학대학 환경생태공학부 (상대 점수 1.00) — '기후, 정책' 관련
2. 에코스마트시티 · 에코업 혁신융합대학 (상대 점수 0.77) — '기후, 정책' 관련 (지원조건: 서울캠퍼스 소속 학생만 지원 가능)
3. 에너지신산업 · 에너지신산업 혁신융합대학 (상대 점수 0.65) — '기후, 정책' 관련
4. 생태조경 · 생명과학대학 환경생태공학부 (상대 점수 0.61) — '기후, 정책' 관련
5. 미생물융합기술 · 생명과학대학 환경생태공학부 (상대 점수 0.39)
(상대 점수는 후보 전공끼리 비교한 값으로 1위가 1.00)</t>
        </is>
      </c>
    </row>
    <row r="19" ht="180" customHeight="1" s="14">
      <c r="A19" s="3" t="inlineStr">
        <is>
          <t>전공 추천</t>
        </is>
      </c>
      <c r="B19" s="4" t="n">
        <v>5</v>
      </c>
      <c r="C19" s="15" t="inlineStr">
        <is>
          <t>패션 브랜드 마케팅과 데이터 분석에 둘 다 관심 있어요. 코딩 경험이 없어도 시작할 만한 융합전공을 찾고 있어요.</t>
        </is>
      </c>
      <c r="D19" s="15" t="inlineStr">
        <is>
          <t>KR-SBERT 임베딩
1. 패션디자인및머천다이징 (유사도 1.00) — '패션, 브랜드' 관련
2. 소프트웨어기술벤쳐 (유사도 0.60) — '데이터' 관련
3. 개인정보보호 (유사도 0.51) — '데이터, 코딩' 관련
4. 정보보호 (유사도 0.49) — '데이터, 코딩' 관련
5. 인문사회디지털콘텐츠 (유사도 0.48) — '데이터' 관련</t>
        </is>
      </c>
      <c r="E19" s="15" t="inlineStr">
        <is>
          <t>1. 패션디자인및머천다이징 · 사범대학 가정교육과 (상대 점수 1.00) — '패션, 브랜드' 관련
2. 소프트웨어기술벤쳐 · 정보대학 컴퓨터학과 (상대 점수 0.60) — '데이터' 관련
3. 개인정보보호 · 스마트보안학부 (상대 점수 0.51) — '데이터, 코딩' 관련
4. 정보보호 · 정보대학 컴퓨터학과 (상대 점수 0.49) — '데이터, 코딩' 관련
5. 인문사회디지털콘텐츠 · 인문사회 디지털융합 인재양성사업단 (상대 점수 0.48) — '데이터' 관련
(상대 점수는 후보 전공끼리 비교한 값으로 1위가 1.00)</t>
        </is>
      </c>
    </row>
    <row r="20" ht="122" customHeight="1" s="14">
      <c r="A20" s="7" t="inlineStr">
        <is>
          <t>전공 추천</t>
        </is>
      </c>
      <c r="B20" s="8" t="n">
        <v>6</v>
      </c>
      <c r="C20" s="18" t="inlineStr">
        <is>
          <t>사람 뇌가 언어를 어떻게 처리하는지 궁금해요</t>
        </is>
      </c>
      <c r="D20" s="18" t="inlineStr">
        <is>
          <t>KR-SBERT 임베딩
1. LB&amp;C (Language, Brain &amp; Computer) (유사도 1.00)
2. 뇌인지과학 (유사도 0.98)
3. 인공지능응용 (유사도 0.74)
4. 인문학과정의 (유사도 0.57)
5. 의료인문학 (유사도 0.56)</t>
        </is>
      </c>
      <c r="E20" s="18" t="inlineStr">
        <is>
          <t>1. LB&amp;C (Language, Brain &amp; Computer) · 문과대학 (상대 점수 1.00)
2. 뇌인지과학 · 정보대학 컴퓨터학과 (상대 점수 0.98)
3. 인공지능응용 · 정보대학 컴퓨터학과 (상대 점수 0.74)
4. 인문학과정의 · 문과대학 (상대 점수 0.57)
5. 의료인문학 · 문과대학 (상대 점수 0.56)
(상대 점수는 후보 전공끼리 비교한 값으로 1위가 1.00)</t>
        </is>
      </c>
    </row>
    <row r="21" ht="165.5" customHeight="1" s="14">
      <c r="A21" s="3" t="inlineStr">
        <is>
          <t>전공 추천</t>
        </is>
      </c>
      <c r="B21" s="4" t="n">
        <v>7</v>
      </c>
      <c r="C21" s="15" t="inlineStr">
        <is>
          <t>반도체</t>
        </is>
      </c>
      <c r="D21" s="15" t="inlineStr">
        <is>
          <t>KR-SBERT 임베딩
1. 차세대반도체 (유사도 1.00) — '반도체' 관련 (지원조건: 신소재공학부/화공생명공학과/전기전자공학부/기계공학부/물리학과 학생만 지원 가능)
2. 메디컬융합공학 (유사도 0.45) — '반도체' 관련
3. 에너지신산업 (유사도 0.29)
4. 미생물융합기술 (유사도 0.26)
5. 에코스마트시티 (유사도 0.22) (지원조건: 서울캠퍼스 소속 학생만 지원 가능)</t>
        </is>
      </c>
      <c r="E21" s="15" t="inlineStr">
        <is>
          <t>1. 차세대반도체 · 차세대AI반도체 특성화대학 사업단 (상대 점수 1.00) — '반도체' 관련 (지원조건: 신소재공학부/화공생명공학과/전기전자공학부/기계공학부/물리학과 학생만 지원 가능)
2. 메디컬융합공학 · KU-KIST융합대학원 (상대 점수 0.45) — '반도체' 관련
3. 에너지신산업 · 에너지신산업 혁신융합대학 (상대 점수 0.29)
4. 미생물융합기술 · 생명과학대학 환경생태공학부 (상대 점수 0.26)
5. 에코스마트시티 · 에코업 혁신융합대학 (상대 점수 0.22) (지원조건: 서울캠퍼스 소속 학생만 지원 가능)
(상대 점수는 후보 전공끼리 비교한 값으로 1위가 1.00)</t>
        </is>
      </c>
    </row>
    <row r="22" ht="122" customHeight="1" s="14">
      <c r="A22" s="7" t="inlineStr">
        <is>
          <t>전공 추천</t>
        </is>
      </c>
      <c r="B22" s="8" t="n">
        <v>8</v>
      </c>
      <c r="C22" s="18" t="inlineStr">
        <is>
          <t>I want to study cybersecurity and data privacy</t>
        </is>
      </c>
      <c r="D22" s="18" t="inlineStr">
        <is>
          <t>KR-SBERT 임베딩
1. 개인정보보호 (유사도 1.00)
2. 정보보호 (유사도 0.82)
3. 인문사회디지털콘텐츠 (유사도 0.47)
4. 소프트웨어기술벤쳐 (유사도 0.46)
5. 뇌인지과학 (유사도 0.32)</t>
        </is>
      </c>
      <c r="E22" s="18" t="inlineStr">
        <is>
          <t>1. 개인정보보호 · 스마트보안학부 (상대 점수 1.00)
2. 정보보호 · 정보대학 컴퓨터학과 (상대 점수 0.82)
3. 인문사회디지털콘텐츠 · 인문사회 디지털융합 인재양성사업단 (상대 점수 0.47)
4. 소프트웨어기술벤쳐 · 정보대학 컴퓨터학과 (상대 점수 0.46)
5. 뇌인지과학 · 정보대학 컴퓨터학과 (상대 점수 0.32)
(상대 점수는 후보 전공끼리 비교한 값으로 1위가 1.00)</t>
        </is>
      </c>
    </row>
    <row r="23" ht="78.5" customHeight="1" s="14">
      <c r="A23" s="3" t="inlineStr">
        <is>
          <t>전공 추천</t>
        </is>
      </c>
      <c r="B23" s="4" t="n">
        <v>9</v>
      </c>
      <c r="C23" s="15" t="inlineStr">
        <is>
          <t>아직 뭘 좋아하는지 잘 모르겠어요</t>
        </is>
      </c>
      <c r="D23" s="15" t="inlineStr">
        <is>
          <t>KR-SBERT 임베딩
입력하신 내용으로는 적합한 전공을 찾기 어렵습니다. 관심 분야를 조금 더 구체적으로 알려주세요. (예: 인공지능, 금융, 보안, 환경, 한국어교육)</t>
        </is>
      </c>
      <c r="E23" s="15" t="inlineStr">
        <is>
          <t>입력하신 내용으로는 적합한 전공을 찾기 어렵습니다. 관심 분야를 조금 더 구체적으로 알려주세요. (예: 인공지능, 금융, 보안, 환경, 한국어교육)</t>
        </is>
      </c>
    </row>
    <row r="24" ht="122" customHeight="1" s="14">
      <c r="A24" s="7" t="inlineStr">
        <is>
          <t>전공 추천</t>
        </is>
      </c>
      <c r="B24" s="8" t="n">
        <v>10</v>
      </c>
      <c r="C24" s="18" t="inlineStr">
        <is>
          <t>기후변화랑 탄소중립 정첵에 관심잇어요</t>
        </is>
      </c>
      <c r="D24" s="18" t="inlineStr">
        <is>
          <t>KR-SBERT 임베딩
1. 기후변화 (유사도 1.00)
2. 에코스마트시티 (유사도 0.79) (지원조건: 서울캠퍼스 소속 학생만 지원 가능)
3. 에너지신산업 (유사도 0.70)
4. 생태조경 (유사도 0.59)
5. 미생물융합기술 (유사도 0.44)</t>
        </is>
      </c>
      <c r="E24" s="18" t="inlineStr">
        <is>
          <t>1. 기후변화 · 생명과학대학 환경생태공학부 (상대 점수 1.00)
2. 에코스마트시티 · 에코업 혁신융합대학 (상대 점수 0.79) (지원조건: 서울캠퍼스 소속 학생만 지원 가능)
3. 에너지신산업 · 에너지신산업 혁신융합대학 (상대 점수 0.70)
4. 생태조경 · 생명과학대학 환경생태공학부 (상대 점수 0.59)
5. 미생물융합기술 · 생명과학대학 환경생태공학부 (상대 점수 0.44)
(상대 점수는 후보 전공끼리 비교한 값으로 1위가 1.00)</t>
        </is>
      </c>
    </row>
    <row r="25" ht="296" customHeight="1" s="14">
      <c r="A25" s="3" t="inlineStr">
        <is>
          <t>로드맵</t>
        </is>
      </c>
      <c r="B25" s="4" t="n">
        <v>1</v>
      </c>
      <c r="C25" s="15" t="inlineStr">
        <is>
          <t>인공지능응용 / (입력 없음) / 18</t>
        </is>
      </c>
      <c r="D25" s="15" t="inlineStr">
        <is>
          <t>인공지능응용
3학년 1학기: 자료구조(COSE213), 공학수학(COSE281), 시계열분석(STAT302), 회귀분석(STAT342), 인공지능과 윤리(AICE301), 생체신호처리(BMED311) — 18학점
3학년 2학기: 알고리즘(COSE214), 빅데이터분석(DATA304), 의학영상처리(BMED318), 뇌 및 인지과학 개론(BNCS301), 선형대수(IMEN151), 뇌 및 의공학 입문(BNCS303) — 18학점
4학년 1학기: 인공지능(COSE361) — 3학점
4학년 2학기: 기계학습(COSE362) — 3학점
(졸업요건을 충족해 나머지 16과목은 로드맵에 넣지 않았습니다. 관심 과목은 추가로 수강 가능합니다.)
총 42학점 / 4학기 (졸업요건 36학점)
선수과목 순서 위배: 0건 (간선 54개 기준)
참고
- 택1 그룹 '전공선택(택1)_auto:전공선택(택1):확률': 2과목 중 확률및랜덤과정 선택</t>
        </is>
      </c>
      <c r="E25" s="15" t="inlineStr">
        <is>
          <t>인공지능응용
3학년 1학기: 자료구조(COSE213), 공학수학(COSE281), 시계열분석(STAT302) — 9학점
3학년 2학기: 알고리즘(COSE214), 회귀분석(STAT342), 인공지능과 윤리(AICE301) — 9학점
4학년 1학기: 인공지능(COSE361), 확률및랜덤과정(COSE382), 빅데이터분석(DATA304) — 9학점
4학년 2학기: 기계학습(COSE362), 생체신호처리(BMED311), 의학영상처리(BMED318) — 9학점
(융합전공 졸업요건을 채워 나머지 18과목은 로드맵에 넣지 않았습니다. 관심 과목은 추가로 수강 가능합니다.)
총 36학점 / 4학기 (융합전공 졸업요건 36학점)
선수과목 순서 위배: 0건 (등록된 선수관계 54개 기준)
참고
- 택1 과목이라 확률및랜덤과정(COSE382) 대신 확률및랜덤프로세스(KECE209)을(를) 들어도 됩니다.</t>
        </is>
      </c>
    </row>
    <row r="26" ht="281.5" customHeight="1" s="14">
      <c r="A26" s="7" t="inlineStr">
        <is>
          <t>로드맵</t>
        </is>
      </c>
      <c r="B26" s="8" t="n">
        <v>2</v>
      </c>
      <c r="C26" s="18" t="inlineStr">
        <is>
          <t>AICE / 자료구조 알고리즘 인공지능 / 15</t>
        </is>
      </c>
      <c r="D26" s="18" t="inlineStr">
        <is>
          <t>인공지능응용
3학년 1학기: 공학수학(COSE281), 시계열분석(STAT302), 회귀분석(STAT342), 인공지능과 윤리(AICE301), 생체신호처리(BMED311) — 15학점
3학년 2학기: 기계학습(COSE362), 확률및랜덤과정(COSE382), 빅데이터분석(DATA304), 의학영상처리(BMED318), 뇌 및 인지과학 개론(BNCS301) — 15학점
4학년 1학기: 고급기계학습(DATA303), 선형대수(IMEN151) — 6학점
(졸업요건을 충족해 나머지 15과목은 로드맵에 넣지 않았습니다. 관심 과목은 추가로 수강 가능합니다.)
총 36학점 / 3학기 (졸업요건 36학점)
선수과목 순서 위배: 0건 (간선 54개 기준)
참고
- 택1 그룹 '전공선택(택1)_auto:전공선택(택1):확률': 2과목 중 확률및랜덤과정 선택</t>
        </is>
      </c>
      <c r="E26" s="18" t="inlineStr">
        <is>
          <t>인공지능응용
3학년 1학기: 공학수학(COSE281), 시계열분석(STAT302), 회귀분석(STAT342), 인공지능과 윤리(AICE301) — 12학점
3학년 2학기: 기계학습(COSE362), 확률및랜덤과정(COSE382), 빅데이터분석(DATA304), 생체신호처리(BMED311), 의학영상처리(BMED318) — 15학점
(융합전공 졸업요건을 채워 나머지 18과목은 로드맵에 넣지 않았습니다. 관심 과목은 추가로 수강 가능합니다.)
이번 계획 27학점 / 2학기 + 기이수 인정 9학점 = 36학점 (융합전공 졸업요건 36학점)
선수과목 순서 위배: 0건 (등록된 선수관계 54개 기준)
참고
- 택1 과목이라 확률및랜덤과정(COSE382) 대신 확률및랜덤프로세스(KECE209)을(를) 들어도 됩니다.</t>
        </is>
      </c>
    </row>
    <row r="27" ht="296" customHeight="1" s="14">
      <c r="A27" s="3" t="inlineStr">
        <is>
          <t>로드맵</t>
        </is>
      </c>
      <c r="B27" s="4" t="n">
        <v>3</v>
      </c>
      <c r="C27" s="15" t="inlineStr">
        <is>
          <t>정보보호 / COSE341 SMRT111 / 15</t>
        </is>
      </c>
      <c r="D27" s="15" t="inlineStr">
        <is>
          <t>정보보호
3학년 1학기: 계산이론(COSE215), 컴퓨터구조(COSE222), 암호수학(SMRT221), 스타트업CampusCEO2.0(Ⅰ)(SPGE220), 스타트업CampusCEO2.0(Ⅱ)(SPGE221) — 15학점
3학년 2학기: 현대암호학(SMRT222), 해킹개론(SMRT226), 컴파일러(COSE312), 컴퓨터네트워크(COSE342), 소프트웨어공학(COSE352) — 15학점
4학년 1학기: 시스템프로그래밍(COSE322), 정보보호(COSE354) — 6학점
(졸업요건을 충족해 나머지 17과목은 로드맵에 넣지 않았습니다. 관심 과목은 추가로 수강 가능합니다.)
총 36학점 / 3학기 (졸업요건 36학점)
선수과목 순서 위배: 0건 (간선 105개 기준)
참고
- 택1 그룹 '택1:전공선택(총36학점):시큐어코딩': 2과목 중 시큐어코딩 선택</t>
        </is>
      </c>
      <c r="E27" s="15" t="inlineStr">
        <is>
          <t>정보보호
3학년 1학기: 계산이론(COSE215), 컴퓨터구조(COSE222), 암호수학(SMRT221), 스타트업CampusCEO2.0(Ⅰ)(SPGE220), 역공학기법(ISEC303) — 15학점
3학년 2학기: 현대암호학(SMRT222), 해킹개론(SMRT226), 컴파일러(COSE312), 컴퓨터네트워크(COSE342), 소프트웨어공학(COSE352) — 15학점
(융합전공 졸업요건을 채워 나머지 18과목은 로드맵에 넣지 않았습니다. 관심 과목은 추가로 수강 가능합니다.)
이번 계획 30학점 / 2학기 + 기이수 인정 6학점 = 36학점 (융합전공 졸업요건 36학점)
선수과목 순서 위배: 0건 (등록된 선수관계 106개 기준)
참고
- 택1 과목이라 역공학기법(ISEC303) 대신 역공학(SMRT344)을(를) 들어도 됩니다.</t>
        </is>
      </c>
    </row>
    <row r="28" ht="409" customHeight="1" s="14">
      <c r="A28" s="7" t="inlineStr">
        <is>
          <t>로드맵</t>
        </is>
      </c>
      <c r="B28" s="8" t="n">
        <v>4</v>
      </c>
      <c r="C28" s="18" t="inlineStr">
        <is>
          <t>소프트웨어기술벤처 / COSE213 COSE211 / 21</t>
        </is>
      </c>
      <c r="D28" s="18" t="inlineStr">
        <is>
          <t>소프트웨어기술벤쳐
3학년 1학기: 자료구조 및 알고리즘(IMEN224), 데이터구조 및 알고리즘(KECE208), 계산이론(COSE215), 알고리즘(COSE214), 공학수학(COSE281), 데이터통신(COSE242), 데이터실험설계및분석(DATA301) — 21학점
3학년 2학기: 논리설계(COSE221), 빅데이터분석(DATA304), 디자인사고(DATA306), 경영정보시스템(BUSS215), 벤처경영(BUSS259), 경영과학개론(IMEN223), 디지털시스템(KECE207) — 21학점
4학년 1학기: 컴퓨터구조(COSE222), 프로그래밍 언어(COSE212) — 6학점
4학년 2학기: 창의적소프트웨어창업방법론(COSE394), 소프트웨어공학(COSE352) — 6학점
(졸업요건을 충족해 나머지 72과목은 로드맵에 넣지 않았습니다. 관심 과목은 추가로 수강 가능합니다.)
총 54학점 / 4학기 (졸업요건 42학점)
선수과목 순서 위배: 0건 (간선 738개 기준)
참고
- 택1 그룹 '택1:전공선택(총30학점):운영체제': 2과목 중 운영체제 선택
- 택1 그룹 '택1:전공선택(총30학점):확률': 2과목 중 확률 및 랜덤과정 선택
- 택1 그룹 '택1:전공선택(총30학점):네트워크': 3과목 중 데이터네트워크 선택
- 택1 그룹 '택1:전공선택(총30학점):회로': 2과목 중 전기회로 선택</t>
        </is>
      </c>
      <c r="E28" s="18" t="inlineStr">
        <is>
          <t>소프트웨어기술벤쳐
3학년 1학기: 계산이론(COSE215), 알고리즘(COSE214), 공학수학(COSE281), 데이터통신(COSE242) — 12학점
3학년 2학기: 논리설계(COSE221), 데이터실험설계및분석(DATA301) — 6학점
4학년 1학기: 컴퓨터구조(COSE222), 프로그래밍 언어(COSE212), 빅데이터분석(DATA304) — 9학점
4학년 2학기: 창의적소프트웨어창업방법론(COSE394), 소프트웨어공학(COSE352), 기업가정신과 리더쉽(COSE389) — 9학점
(융합전공 졸업요건을 채워 나머지 70과목은 로드맵에 넣지 않았습니다. 관심 과목은 추가로 수강 가능합니다.)
이번 계획 36학점 / 4학기 + 기이수 인정 6학점 = 42학점 (융합전공 졸업요건 42학점)
선수과목 순서 위배: 0건 (등록된 선수관계 743개 기준)
참고
- 택1 과목이라 논리설계(COSE221) 대신 디지털시스템(KECE207)을(를) 들어도 됩니다.
- 택1 과목이라 공학수학(COSE281) 대신 공학수학Ⅰ(KECE231)을(를) 들어도 됩니다.
- 택1 과목이라 데이터통신(COSE242) 대신 데이터네트워크(KECE316)을(를) 들어도 됩니다.</t>
        </is>
      </c>
    </row>
    <row r="29" ht="252.5" customHeight="1" s="14">
      <c r="A29" s="3" t="inlineStr">
        <is>
          <t>로드맵</t>
        </is>
      </c>
      <c r="B29" s="4" t="n">
        <v>5</v>
      </c>
      <c r="C29" s="15" t="inlineStr">
        <is>
          <t>뇌인지과학 / (입력 없음) / 12</t>
        </is>
      </c>
      <c r="D29" s="15" t="inlineStr">
        <is>
          <t>뇌인지과학
3학년 1학기: 계산이론(COSE215), 뇌및인지과학개론(BNCS301), 뇌및의공학입문(BNCS303), 뇌인지과학실습(BNCS315) — 12학점
3학년 2학기: 자료구조(COSE213), 공학수학(COSE281), 일반생물학및연습Ⅰ(LIBS151), 일반생물학및연습Ⅱ(LIBS152) — 12학점
4학년 1학기: 이산수학(COSE211), 알고리즘(COSE214), 일반생물학실험Ⅰ(LIBS153), 일반생물학실험Ⅱ(LIBS154), 학습심리학(PSYC216), 인공지능의심리학(PSYC225) — 12학점
(졸업요건을 충족해 나머지 21과목은 로드맵에 넣지 않았습니다. 관심 과목은 추가로 수강 가능합니다.)
총 36학점 / 3학기 (졸업요건 36학점)
선수과목 순서 위배: 0건 (간선 68개 기준)</t>
        </is>
      </c>
      <c r="E29" s="15" t="inlineStr">
        <is>
          <t>뇌인지과학
3학년 1학기: 계산이론(COSE215), 뇌및인지과학개론(BNCS301), 뇌및의공학입문(BNCS303), 뇌인지과학실습(BNCS315) — 12학점
3학년 2학기: 자료구조(COSE213), 공학수학(COSE281), 일반생물학및연습Ⅰ(LIBS151), 일반생물학실험Ⅰ(LIBS153), 인공지능의심리학(PSYC225), 자연지능의계산신경과학(PSYC279) — 12학점
4학년 1학기: 이산수학(COSE211), 알고리즘(COSE214), 일반생물학및연습Ⅱ(LIBS152), 일반생물학실험Ⅱ(LIBS154), 화학의기초실험Ⅰ(LIET155) — 11학점
4학년 2학기: 화학의기초실험Ⅱ(LIET156) — 1학점
(융합전공 졸업요건을 채워 나머지 19과목은 로드맵에 넣지 않았습니다. 관심 과목은 추가로 수강 가능합니다.)
총 36학점 / 4학기 (융합전공 졸업요건 36학점)
선수과목 순서 위배: 0건 (등록된 선수관계 72개 기준)</t>
        </is>
      </c>
    </row>
    <row r="30" ht="339.5" customHeight="1" s="14">
      <c r="A30" s="7" t="inlineStr">
        <is>
          <t>로드맵</t>
        </is>
      </c>
      <c r="B30" s="8" t="n">
        <v>6</v>
      </c>
      <c r="C30" s="18" t="inlineStr">
        <is>
          <t>인공지능응용 / (입력 없음) / 6</t>
        </is>
      </c>
      <c r="D30" s="18" t="inlineStr">
        <is>
          <t>인공지능응용
3학년 1학기: 자료구조(COSE213), 공학수학(COSE281) — 6학점
3학년 2학기: 알고리즘(COSE214), 시계열분석(STAT302) — 6학점
4학년 1학기: 인공지능(COSE361), 확률및랜덤과정(COSE382) — 6학점
4학년 2학기: 기계학습(COSE362), 회귀분석(STAT342) — 6학점
5학년 1학기: 고급기계학습(DATA303), 인공지능과 윤리(AICE301) — 6학점
5학년 2학기: 빅데이터분석(DATA304), 생체신호처리(BMED311) — 6학점
(졸업요건을 충족해 나머지 18과목은 로드맵에 넣지 않았습니다. 관심 과목은 추가로 수강 가능합니다.)
총 36학점 / 6학기 (졸업요건 36학점)
선수과목 순서 위배: 0건 (간선 54개 기준)
참고
- 택1 그룹 '전공선택(택1)_auto:전공선택(택1):확률': 2과목 중 확률및랜덤과정 선택</t>
        </is>
      </c>
      <c r="E30" s="18" t="inlineStr">
        <is>
          <t>인공지능응용
3학년 1학기: 자료구조(COSE213), 공학수학(COSE281) — 6학점
3학년 2학기: 알고리즘(COSE214), 시계열분석(STAT302) — 6학점
4학년 1학기: 인공지능(COSE361), 확률및랜덤과정(COSE382) — 6학점
4학년 2학기: 기계학습(COSE362), 회귀분석(STAT342) — 6학점
5학년 1학기: 고급기계학습(DATA303), 인공지능과 윤리(AICE301) — 6학점
5학년 2학기: 빅데이터분석(DATA304), 생체신호처리(BMED311) — 6학점
(융합전공 졸업요건을 채워 나머지 18과목은 로드맵에 넣지 않았습니다. 관심 과목은 추가로 수강 가능합니다.)
총 36학점 / 6학기 (융합전공 졸업요건 36학점)
선수과목 순서 위배: 0건 (등록된 선수관계 54개 기준)
참고
- 계획이 5학년 2학기까지 이어져 4학년 2학기를 넘깁니다. 학기당 학점을 늘리거나 계절학기를 고려하세요.
- 택1 과목이라 확률및랜덤과정(COSE382) 대신 확률및랜덤프로세스(KECE209)을(를) 들어도 됩니다.</t>
        </is>
      </c>
    </row>
    <row r="31" ht="238" customHeight="1" s="14">
      <c r="A31" s="3" t="inlineStr">
        <is>
          <t>로드맵</t>
        </is>
      </c>
      <c r="B31" s="4" t="n">
        <v>7</v>
      </c>
      <c r="C31" s="15" t="inlineStr">
        <is>
          <t>생태조경 / LIET219 LIET201 / 18</t>
        </is>
      </c>
      <c r="D31" s="15" t="inlineStr">
        <is>
          <t>생태조경
3학년 1학기: 물환경학(LIET206), 환경GIS및실습(LIET235), 환경정보및계획학실습(LIET237), 디자인표현기법(ARDE212), 기초정보디자인(ARDE229), 조경시공관리학(LESF315) — 18학점
3학년 2학기: 환경과디자인의이해및실습(LIET367), 조경표현기법및실습(LIET370), 조경계획및실습(LIET374), 조경디자인스튜디오및실습(LESF403), 식재디자인스튜디오및실습(LESF414), 환경정책학(LIET313) — 18학점
(졸업요건을 충족해 나머지 15과목은 로드맵에 넣지 않았습니다. 관심 과목은 추가로 수강 가능합니다.)
총 36학점 / 2학기 (졸업요건 36학점)
선수과목 순서 위배: 0건 (간선 100개 기준)</t>
        </is>
      </c>
      <c r="E31" s="15" t="inlineStr">
        <is>
          <t>생태조경
3학년 1학기: 환경GIS및실습(LIET235), 환경정보및계획학실습(LIET237), 디자인표현기법(ARDE212), 기초정보디자인(ARDE229), 도시계획및설계(ARCH325) — 15학점
3학년 2학기: 조경시공관리학(LESF315), 물환경학(LIET206) — 6학점
4학년 1학기: 환경과디자인의이해및실습(LIET367), 조경표현기법및실습(LIET370), 조경디자인스튜디오및실습(LESF403) — 9학점
(융합전공 졸업요건을 채워 나머지 17과목은 로드맵에 넣지 않았습니다. 관심 과목은 추가로 수강 가능합니다.)
이번 계획 30학점 / 3학기 + 기이수 인정 6학점 = 36학점 (융합전공 졸업요건 36학점)
선수과목 순서 위배: 0건 (등록된 선수관계 100개 기준)</t>
        </is>
      </c>
    </row>
    <row r="32" ht="267" customHeight="1" s="14">
      <c r="A32" s="7" t="inlineStr">
        <is>
          <t>로드맵</t>
        </is>
      </c>
      <c r="B32" s="8" t="n">
        <v>8</v>
      </c>
      <c r="C32" s="18" t="inlineStr">
        <is>
          <t>aice / cose213, cose362 / 18</t>
        </is>
      </c>
      <c r="D32" s="18" t="inlineStr">
        <is>
          <t>인공지능응용
3학년 1학기: 알고리즘(COSE214), 공학수학(COSE281), 시계열분석(STAT302), 회귀분석(STAT342), 인공지능과 윤리(AICE301), 생체신호처리(BMED311) — 18학점
3학년 2학기: 인공지능(COSE361), 확률및랜덤과정(COSE382), 빅데이터분석(DATA304), 의학영상처리(BMED318), 뇌 및 인지과학 개론(BNCS301), 선형대수(IMEN151) — 18학점
(졸업요건을 충족해 나머지 16과목은 로드맵에 넣지 않았습니다. 관심 과목은 추가로 수강 가능합니다.)
총 36학점 / 2학기 (졸업요건 36학점)
선수과목 순서 위배: 0건 (간선 54개 기준)
참고
- 택1 그룹 '전공선택(택1)_auto:전공선택(택1):확률': 2과목 중 확률및랜덤과정 선택</t>
        </is>
      </c>
      <c r="E32" s="18" t="inlineStr">
        <is>
          <t>인공지능응용
3학년 1학기: 알고리즘(COSE214), 공학수학(COSE281), 시계열분석(STAT302), 회귀분석(STAT342), 인공지능과 윤리(AICE301) — 15학점
3학년 2학기: 인공지능(COSE361), 확률및랜덤과정(COSE382), 빅데이터분석(DATA304), 생체신호처리(BMED311), 의학영상처리(BMED318) — 15학점
(융합전공 졸업요건을 채워 나머지 18과목은 로드맵에 넣지 않았습니다. 관심 과목은 추가로 수강 가능합니다.)
이번 계획 30학점 / 2학기 + 기이수 인정 6학점 = 36학점 (융합전공 졸업요건 36학점)
선수과목 순서 위배: 0건 (등록된 선수관계 54개 기준)
참고
- 택1 과목이라 확률및랜덤과정(COSE382) 대신 확률및랜덤프로세스(KECE209)을(를) 들어도 됩니다.</t>
        </is>
      </c>
    </row>
    <row r="33" ht="49.5" customHeight="1" s="14">
      <c r="A33" s="3" t="inlineStr">
        <is>
          <t>로드맵</t>
        </is>
      </c>
      <c r="B33" s="4" t="n">
        <v>9</v>
      </c>
      <c r="C33" s="15" t="inlineStr">
        <is>
          <t>컴퓨터학과 / COSE213 / 18</t>
        </is>
      </c>
      <c r="D33" s="15" t="inlineStr">
        <is>
          <t>'컴퓨터학과'는 학과·주전공으로 보입니다. 이 시스템은 융합전공 29개만 다루며 주전공·이중전공 커리큘럼은 포함하고 있지 않습니다. 관심 분야를 말씀해 주시면 맞는 융합전공을 찾아드리겠습니다.</t>
        </is>
      </c>
      <c r="E33" s="15" t="inlineStr">
        <is>
          <t>'컴퓨터학과'는 학과·주전공으로 보입니다. 이 시스템은 융합전공 29개만 다루며 주전공·이중전공 커리큘럼은 포함하고 있지 않습니다. 관심 분야를 말씀해 주시면 맞는 융합전공을 찾아드리겠습니다.</t>
        </is>
      </c>
    </row>
    <row r="34" ht="325" customHeight="1" s="14">
      <c r="A34" s="7" t="inlineStr">
        <is>
          <t>로드맵</t>
        </is>
      </c>
      <c r="B34" s="8" t="n">
        <v>10</v>
      </c>
      <c r="C34" s="18" t="inlineStr">
        <is>
          <t>차세대반도체 / (입력 없음) / 18</t>
        </is>
      </c>
      <c r="D34" s="18" t="inlineStr">
        <is>
          <t>차세대반도체
3학년 1학기: AI반도체개론(TBD-AI반도체개론), AI 반도체 신소재 개론(TBD-AI반도체신소재개론), ASIC 설계(TBD-ASIC설계), PBL 산학 프로젝트 1(TBD-PBL산학프로젝트1), PBL 산학 프로젝트 2(TBD-PBL산학프로젝트2), VLSI 설계 및 실험(TBD-VLSI설계및실험) — 18학점
3학년 2학기: 고급 AI 반도체공정및응용(TBD-고급AI반도체공정및응용), 광학(TBD-광학), 나노공학입문(TBD-나노공학입문), 나노전자공학(TBD-나노전자공학), 디지털집적회로(TBD-디지털집적회로), 마이크로프로세서 프로그래밍(TBD-마이크로프로세서프로그래) — 18학점
(졸업요건을 충족해 나머지 15과목은 로드맵에 넣지 않았습니다. 관심 과목은 추가로 수강 가능합니다.)
총 36학점 / 2학기 (졸업요건 36학점)
선수과목 순서 위배: 0건 (간선 0개 기준)
참고
- 택1 그룹 '전공트랙(택1, 24학점)_auto:전공트랙(택1, 24학점):고급AI반도': 2과목 중 고급 AI 반도체공정및응용 선택
- 택1 그룹 '전공트랙(택1, 24학점)_auto:전공트랙(택1, 24학점):반도체패키징': 2과목 중 반도체 패키징1 선택</t>
        </is>
      </c>
      <c r="E34" s="18" t="inlineStr">
        <is>
          <t>차세대반도체는 학교 자료에 과목별 학점과 학수번호가 공개되지 않아 로드맵과 졸업요건을 계산할 수 없습니다. 영역별 요건은 전공트랙(택1, 24학점), 공동운영(6학점), 학부인정(6학점), PBL·콜로키움(6학점), 자유이수(6학점, 상기 과목 중 선택)입니다. 교과목 목록은 교과목 조회로 볼 수 있고, 이수 계획은 주관 학과에 확인해 주세요.</t>
        </is>
      </c>
    </row>
    <row r="35" ht="49.5" customHeight="1" s="14">
      <c r="A35" s="3" t="inlineStr">
        <is>
          <t>졸업요건</t>
        </is>
      </c>
      <c r="B35" s="4" t="n">
        <v>1</v>
      </c>
      <c r="C35" s="15" t="inlineStr">
        <is>
          <t>인공지능응용 / COSE213</t>
        </is>
      </c>
      <c r="D35" s="15" t="inlineStr">
        <is>
          <t>인공지능응용: 총 36학점 중 3학점 이수, 33학점 남음. 전공필수 6학점 중 3학점 이수, 3학점 부족. 졸업요건 미충족.</t>
        </is>
      </c>
      <c r="E35" s="15" t="inlineStr">
        <is>
          <t>인공지능응용: 총 36학점 중 3학점 이수, 33학점 남음. 전공필수 6학점 중 3학점 이수, 3학점 부족. ※ 남은 전공필수: 기계학습(COSE362). 융합전공 졸업요건 미충족.</t>
        </is>
      </c>
    </row>
    <row r="36" ht="64" customHeight="1" s="14">
      <c r="A36" s="7" t="inlineStr">
        <is>
          <t>졸업요건</t>
        </is>
      </c>
      <c r="B36" s="8" t="n">
        <v>2</v>
      </c>
      <c r="C36" s="18" t="inlineStr">
        <is>
          <t>AICE / COSE213 COSE362 COSE214 COSE361 COSE474 COSE461 DATA303 DATA304 IMEN151 COSE281 STAT342</t>
        </is>
      </c>
      <c r="D36" s="18" t="inlineStr">
        <is>
          <t>인공지능응용: 총 36학점 중 33학점 이수, 3학점 남음. 전공필수 6학점 중 6학점 이수 (충족). 졸업요건 미충족.</t>
        </is>
      </c>
      <c r="E36" s="18" t="inlineStr">
        <is>
          <t>인공지능응용: 총 36학점 중 33학점 이수, 3학점 남음. 전공필수 6학점 중 6학점 이수 (충족). 융합전공 졸업요건 미충족.</t>
        </is>
      </c>
    </row>
    <row r="37" ht="64" customHeight="1" s="14">
      <c r="A37" s="3" t="inlineStr">
        <is>
          <t>졸업요건</t>
        </is>
      </c>
      <c r="B37" s="4" t="n">
        <v>3</v>
      </c>
      <c r="C37" s="15" t="inlineStr">
        <is>
          <t>정보보호 / COSE341 COSE342 COSE354 ISEC302 ISEC303 ISEC304 SMRT221 SMRT222 SMRT226 SMRT303 SMRT323 SMRT334</t>
        </is>
      </c>
      <c r="D37" s="15" t="inlineStr">
        <is>
          <t>정보보호: 총 36학점 중 36학점 이수, 0학점 남음. 졸업요건 충족.</t>
        </is>
      </c>
      <c r="E37" s="15" t="inlineStr">
        <is>
          <t>정보보호: 총 36학점 중 36학점 이수, 0학점 남음. 융합전공 졸업요건 충족.</t>
        </is>
      </c>
    </row>
    <row r="38" ht="78.5" customHeight="1" s="14">
      <c r="A38" s="7" t="inlineStr">
        <is>
          <t>졸업요건</t>
        </is>
      </c>
      <c r="B38" s="8" t="n">
        <v>4</v>
      </c>
      <c r="C38" s="18" t="inlineStr">
        <is>
          <t>소프트웨어기술벤처 / COSE213 IMEN224 COSE352</t>
        </is>
      </c>
      <c r="D38" s="18" t="inlineStr">
        <is>
          <t>소프트웨어기술벤쳐: 총 42학점 중 9학점 이수, 33학점 남음. 전공필수 12학점 중 9학점 이수, 3학점 부족. 졸업요건 미충족.</t>
        </is>
      </c>
      <c r="E38" s="18" t="inlineStr">
        <is>
          <t>소프트웨어기술벤쳐: 총 42학점 중 6학점 이수, 36학점 남음. 전공필수 12학점 중 6학점 이수, 6학점 부족. ※ 남은 전공필수: 기업가정신과 리더쉽(COSE389), 창의적소프트웨어창업방법론(COSE394). ※ 택1 과목은 1과목만 셌습니다 (자료구조 및 알고리즘(IMEN224) 제외, 추가 인정 여부는 학과 확인). 융합전공 졸업요건 미충족.</t>
        </is>
      </c>
    </row>
    <row r="39" ht="49.5" customHeight="1" s="14">
      <c r="A39" s="3" t="inlineStr">
        <is>
          <t>졸업요건</t>
        </is>
      </c>
      <c r="B39" s="4" t="n">
        <v>5</v>
      </c>
      <c r="C39" s="15" t="inlineStr">
        <is>
          <t>기후변화 / (입력 없음)</t>
        </is>
      </c>
      <c r="D39" s="15" t="inlineStr">
        <is>
          <t>기후변화: 총 36학점 중 0학점 이수, 36학점 남음. 전공필수 6학점 중 0학점 이수, 6학점 부족. 졸업요건 미충족.</t>
        </is>
      </c>
      <c r="E39" s="15" t="inlineStr">
        <is>
          <t>기후변화: 총 36학점 중 0학점 이수, 36학점 남음. 전공필수 6학점 중 0학점 이수, 6학점 부족. ※ 남은 전공필수: 기후변화과학(CCST301), 기후변화경제학(CCST401). 융합전공 졸업요건 미충족.</t>
        </is>
      </c>
    </row>
    <row r="40" ht="35" customHeight="1" s="14">
      <c r="A40" s="7" t="inlineStr">
        <is>
          <t>졸업요건</t>
        </is>
      </c>
      <c r="B40" s="8" t="n">
        <v>6</v>
      </c>
      <c r="C40" s="18" t="inlineStr">
        <is>
          <t>인문학과정의 / LALW103 PHIL220 SOCI464</t>
        </is>
      </c>
      <c r="D40" s="18" t="inlineStr">
        <is>
          <t>인문학과정의: 총 36학점 중 9학점 이수, 27학점 남음. 전공필수 6학점 중 6학점 이수 (충족). 졸업요건 미충족.</t>
        </is>
      </c>
      <c r="E40" s="18" t="inlineStr">
        <is>
          <t>인문학과정의: 총 36학점 중 9학점 이수, 27학점 남음. 전공필수 6학점 중 6학점 이수 (충족). 융합전공 졸업요건 미충족.</t>
        </is>
      </c>
    </row>
    <row r="41" ht="64" customHeight="1" s="14">
      <c r="A41" s="3" t="inlineStr">
        <is>
          <t>졸업요건</t>
        </is>
      </c>
      <c r="B41" s="4" t="n">
        <v>7</v>
      </c>
      <c r="C41" s="15" t="inlineStr">
        <is>
          <t>인공지능응용 / COSE213 COSE213</t>
        </is>
      </c>
      <c r="D41" s="15" t="inlineStr">
        <is>
          <t>인공지능응용: 총 36학점 중 6학점 이수, 30학점 남음. 전공필수 6학점 중 6학점 이수 (충족). 졸업요건 미충족.</t>
        </is>
      </c>
      <c r="E41" s="15" t="inlineStr">
        <is>
          <t>인공지능응용: 총 36학점 중 3학점 이수, 33학점 남음. 전공필수 6학점 중 3학점 이수, 3학점 부족. ※ 남은 전공필수: 기계학습(COSE362). ※ 같은 학수번호를 두 번 이상 입력해 한 번만 셌습니다 (COSE213). 융합전공 졸업요건 미충족.</t>
        </is>
      </c>
    </row>
    <row r="42" ht="35" customHeight="1" s="14">
      <c r="A42" s="7" t="inlineStr">
        <is>
          <t>졸업요건</t>
        </is>
      </c>
      <c r="B42" s="8" t="n">
        <v>8</v>
      </c>
      <c r="C42" s="18" t="inlineStr">
        <is>
          <t>인공지능응용 / 자료구조 기계학습</t>
        </is>
      </c>
      <c r="D42" s="18" t="inlineStr">
        <is>
          <t>인공지능응용: 총 36학점 중 6학점 이수, 30학점 남음. 전공필수 6학점 중 6학점 이수 (충족). 졸업요건 미충족.</t>
        </is>
      </c>
      <c r="E42" s="18" t="inlineStr">
        <is>
          <t>인공지능응용: 총 36학점 중 6학점 이수, 30학점 남음. 전공필수 6학점 중 6학점 이수 (충족). 융합전공 졸업요건 미충족.</t>
        </is>
      </c>
    </row>
    <row r="43" ht="64" customHeight="1" s="14">
      <c r="A43" s="3" t="inlineStr">
        <is>
          <t>졸업요건</t>
        </is>
      </c>
      <c r="B43" s="4" t="n">
        <v>9</v>
      </c>
      <c r="C43" s="15" t="inlineStr">
        <is>
          <t>인공지능응용 / COSE999 ABC123 COSE213</t>
        </is>
      </c>
      <c r="D43" s="15" t="inlineStr">
        <is>
          <t>인공지능응용: 총 36학점 중 3학점 이수, 33학점 남음. 전공필수 6학점 중 3학점 이수, 3학점 부족. ※ 이 전공 교과목이 아닌 과목 2건은 제외. 졸업요건 미충족.</t>
        </is>
      </c>
      <c r="E43" s="15" t="inlineStr">
        <is>
          <t>인공지능응용: 총 36학점 중 3학점 이수, 33학점 남음. 전공필수 6학점 중 3학점 이수, 3학점 부족. ※ 남은 전공필수: 기계학습(COSE362). ※ 이 전공 교과목이 아니어서 제외했습니다: 확인되지 않는 학수번호 COSE999, ABC123. 융합전공 졸업요건 미충족.</t>
        </is>
      </c>
    </row>
    <row r="44" ht="64" customHeight="1" s="14">
      <c r="A44" s="7" t="inlineStr">
        <is>
          <t>졸업요건</t>
        </is>
      </c>
      <c r="B44" s="8" t="n">
        <v>10</v>
      </c>
      <c r="C44" s="18" t="inlineStr">
        <is>
          <t>식품산업관리 / (입력 없음)</t>
        </is>
      </c>
      <c r="D44" s="18" t="inlineStr">
        <is>
          <t>식품산업관리 (폐지): 총 36학점 중 0학점 이수, 36학점 남음. 졸업요건 미충족.</t>
        </is>
      </c>
      <c r="E44" s="18" t="inlineStr">
        <is>
          <t>식품산업관리 (폐지)는 폐지된 융합전공입니다. 새로 이수할 수 있는지는 학과에 확인하세요. 아래는 기존 이수자 기준 계산입니다. 식품산업관리 (폐지): 총 36학점 중 0학점 이수, 36학점 남음. 융합전공 졸업요건 미충족.</t>
        </is>
      </c>
    </row>
  </sheetData>
  <mergeCells count="2">
    <mergeCell ref="A2:F2"/>
    <mergeCell ref="A1:F1"/>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2026-10-02T01:11:16Z</dcterms:created>
  <dcterms:modified xmlns:dcterms="http://purl.org/dc/terms/" xmlns:xsi="http://www.w3.org/2001/XMLSchema-instance" xsi:type="dcterms:W3CDTF">2026-10-15T05:17:39Z</dcterms:modified>
  <cp:lastModifiedBy>신홍철 [대학원 / 융합생명공학과]</cp:lastModifiedBy>
</cp:coreProperties>
</file>